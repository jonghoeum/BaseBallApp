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구매팀\00. AXCELIS\260214_엑셀리스 ASSY FACILTIES FEED 견적\"/>
    </mc:Choice>
  </mc:AlternateContent>
  <bookViews>
    <workbookView xWindow="0" yWindow="0" windowWidth="21840" windowHeight="12255" tabRatio="923" activeTab="3"/>
  </bookViews>
  <sheets>
    <sheet name="1. Default (원본)" sheetId="2" r:id="rId1"/>
    <sheet name="2. Default (변경내역 조사)" sheetId="3" r:id="rId2"/>
    <sheet name="3. Default (재료비 현황) _최종자료" sheetId="4" r:id="rId3"/>
    <sheet name="3. Default (재료비 현황) _업로드용" sheetId="5" r:id="rId4"/>
  </sheets>
  <definedNames>
    <definedName name="_xlnm._FilterDatabase" localSheetId="0" hidden="1">'1. Default (원본)'!$A$2:$R$320</definedName>
    <definedName name="_xlnm._FilterDatabase" localSheetId="1" hidden="1">'2. Default (변경내역 조사)'!$A$2:$V$320</definedName>
    <definedName name="_xlnm._FilterDatabase" localSheetId="3" hidden="1">'3. Default (재료비 현황) _업로드용'!$A$2:$AJ$327</definedName>
    <definedName name="_xlnm._FilterDatabase" localSheetId="2" hidden="1">'3. Default (재료비 현황) _최종자료'!$A$2:$AF$315</definedName>
    <definedName name="_Order2">255</definedName>
    <definedName name="Access_Button">"업체현황_카드발송_List"</definedName>
    <definedName name="Access_Button1">"업체현황_카드발송_List"</definedName>
    <definedName name="Access_Button2">"업체현황_카드발송_List"</definedName>
    <definedName name="Access_Button3">"카드발송_카드발송_List1"</definedName>
    <definedName name="Access_Button4">"업체현황_카드발송_List"</definedName>
    <definedName name="AccessDatabase">"C:\My Documents\SCD\업무연락안양식.mdb"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8" i="5" l="1"/>
  <c r="AD9" i="5"/>
  <c r="AD10" i="5"/>
  <c r="AD12" i="5"/>
  <c r="AD13" i="5"/>
  <c r="AD14" i="5"/>
  <c r="E85" i="5"/>
  <c r="E86" i="5"/>
  <c r="AD60" i="5"/>
  <c r="AD61" i="5"/>
  <c r="AD62" i="5"/>
  <c r="AD63" i="5"/>
  <c r="AD64" i="5"/>
  <c r="AD65" i="5"/>
  <c r="AD66" i="5"/>
  <c r="AD67" i="5"/>
  <c r="AB61" i="5"/>
  <c r="AB62" i="5"/>
  <c r="AB63" i="5"/>
  <c r="AB64" i="5"/>
  <c r="AB65" i="5"/>
  <c r="AB66" i="5"/>
  <c r="AB67" i="5"/>
  <c r="AB60" i="5"/>
  <c r="E60" i="5"/>
  <c r="E61" i="5"/>
  <c r="E62" i="5"/>
  <c r="E63" i="5"/>
  <c r="E64" i="5"/>
  <c r="E65" i="5"/>
  <c r="E66" i="5"/>
  <c r="E67" i="5"/>
  <c r="E3" i="5"/>
  <c r="E4" i="5"/>
  <c r="E5" i="5"/>
  <c r="E6" i="5"/>
  <c r="E7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AD323" i="5"/>
  <c r="AD322" i="5"/>
  <c r="AD320" i="5"/>
  <c r="AD319" i="5"/>
  <c r="AD318" i="5"/>
  <c r="AD317" i="5"/>
  <c r="AD315" i="5"/>
  <c r="AD314" i="5"/>
  <c r="AD312" i="5"/>
  <c r="AD311" i="5"/>
  <c r="AD310" i="5"/>
  <c r="AD309" i="5"/>
  <c r="AD308" i="5"/>
  <c r="AD307" i="5"/>
  <c r="AD306" i="5"/>
  <c r="AD305" i="5"/>
  <c r="AD304" i="5"/>
  <c r="AD303" i="5"/>
  <c r="AD302" i="5"/>
  <c r="AD301" i="5"/>
  <c r="AD300" i="5"/>
  <c r="AD299" i="5"/>
  <c r="AD298" i="5"/>
  <c r="AD297" i="5"/>
  <c r="AD296" i="5"/>
  <c r="AD295" i="5"/>
  <c r="AD294" i="5"/>
  <c r="AD293" i="5"/>
  <c r="AB293" i="5"/>
  <c r="AD292" i="5"/>
  <c r="AB292" i="5"/>
  <c r="AD291" i="5"/>
  <c r="AD290" i="5"/>
  <c r="AD289" i="5"/>
  <c r="AD288" i="5"/>
  <c r="AD287" i="5"/>
  <c r="AD286" i="5"/>
  <c r="AD285" i="5"/>
  <c r="AD284" i="5"/>
  <c r="AD283" i="5"/>
  <c r="AD282" i="5"/>
  <c r="AD281" i="5"/>
  <c r="AD280" i="5"/>
  <c r="AD279" i="5"/>
  <c r="AD278" i="5"/>
  <c r="AD277" i="5"/>
  <c r="AD276" i="5"/>
  <c r="AD274" i="5"/>
  <c r="AD273" i="5"/>
  <c r="AD272" i="5"/>
  <c r="AD271" i="5"/>
  <c r="AD270" i="5"/>
  <c r="AD269" i="5"/>
  <c r="AD264" i="5"/>
  <c r="AD263" i="5"/>
  <c r="AD262" i="5"/>
  <c r="AD254" i="5"/>
  <c r="AD253" i="5"/>
  <c r="AD251" i="5"/>
  <c r="AD250" i="5"/>
  <c r="AD244" i="5"/>
  <c r="AD243" i="5"/>
  <c r="AD241" i="5"/>
  <c r="AD240" i="5"/>
  <c r="AD234" i="5"/>
  <c r="AD232" i="5"/>
  <c r="AD231" i="5"/>
  <c r="AD230" i="5"/>
  <c r="AD229" i="5"/>
  <c r="AD228" i="5"/>
  <c r="AD227" i="5"/>
  <c r="AD226" i="5"/>
  <c r="AD225" i="5"/>
  <c r="AD224" i="5"/>
  <c r="AD223" i="5"/>
  <c r="AD222" i="5"/>
  <c r="AD221" i="5"/>
  <c r="AD220" i="5"/>
  <c r="AD219" i="5"/>
  <c r="AD218" i="5"/>
  <c r="AD217" i="5"/>
  <c r="AD216" i="5"/>
  <c r="AD215" i="5"/>
  <c r="AD214" i="5"/>
  <c r="AD180" i="5"/>
  <c r="AD169" i="5"/>
  <c r="AD166" i="5"/>
  <c r="AD163" i="5"/>
  <c r="AD162" i="5"/>
  <c r="AD157" i="5"/>
  <c r="AD156" i="5"/>
  <c r="AD155" i="5"/>
  <c r="AB155" i="5"/>
  <c r="AD154" i="5"/>
  <c r="AD153" i="5"/>
  <c r="AB153" i="5"/>
  <c r="AD152" i="5"/>
  <c r="AD151" i="5"/>
  <c r="AD150" i="5"/>
  <c r="AD149" i="5"/>
  <c r="AD147" i="5"/>
  <c r="AD146" i="5"/>
  <c r="AD141" i="5"/>
  <c r="AD140" i="5"/>
  <c r="AD139" i="5"/>
  <c r="AD138" i="5"/>
  <c r="AB138" i="5"/>
  <c r="AD137" i="5"/>
  <c r="AD136" i="5"/>
  <c r="AB136" i="5"/>
  <c r="AD135" i="5"/>
  <c r="AD134" i="5"/>
  <c r="AD133" i="5"/>
  <c r="AD132" i="5"/>
  <c r="AD131" i="5"/>
  <c r="AD130" i="5"/>
  <c r="AD129" i="5"/>
  <c r="AD124" i="5"/>
  <c r="AD123" i="5"/>
  <c r="AD122" i="5"/>
  <c r="AB122" i="5"/>
  <c r="AD121" i="5"/>
  <c r="AD120" i="5"/>
  <c r="AD119" i="5"/>
  <c r="AD118" i="5"/>
  <c r="AD117" i="5"/>
  <c r="AD113" i="5"/>
  <c r="AD112" i="5"/>
  <c r="AD111" i="5"/>
  <c r="AB111" i="5"/>
  <c r="AD110" i="5"/>
  <c r="AD109" i="5"/>
  <c r="AD108" i="5"/>
  <c r="AD107" i="5"/>
  <c r="AD106" i="5"/>
  <c r="AD101" i="5"/>
  <c r="AD97" i="5"/>
  <c r="AD96" i="5"/>
  <c r="AD95" i="5"/>
  <c r="AD94" i="5"/>
  <c r="AB94" i="5"/>
  <c r="AD93" i="5"/>
  <c r="AD92" i="5"/>
  <c r="AD91" i="5"/>
  <c r="AD90" i="5"/>
  <c r="AD84" i="5"/>
  <c r="AD81" i="5"/>
  <c r="AD80" i="5"/>
  <c r="AD79" i="5"/>
  <c r="AD78" i="5"/>
  <c r="AD77" i="5"/>
  <c r="AB77" i="5"/>
  <c r="AD76" i="5"/>
  <c r="AD75" i="5"/>
  <c r="AD74" i="5"/>
  <c r="AD73" i="5"/>
  <c r="AD71" i="5"/>
  <c r="AD70" i="5"/>
  <c r="AD69" i="5"/>
  <c r="AD68" i="5"/>
  <c r="AG68" i="5" s="1"/>
  <c r="AD59" i="5"/>
  <c r="AD58" i="5"/>
  <c r="AD57" i="5"/>
  <c r="AD56" i="5"/>
  <c r="AD55" i="5"/>
  <c r="AD54" i="5"/>
  <c r="AD52" i="5"/>
  <c r="AD50" i="5"/>
  <c r="AD49" i="5"/>
  <c r="AD48" i="5"/>
  <c r="AD47" i="5"/>
  <c r="AD46" i="5"/>
  <c r="AD45" i="5"/>
  <c r="AD44" i="5"/>
  <c r="AD43" i="5"/>
  <c r="AD42" i="5"/>
  <c r="AD41" i="5"/>
  <c r="AD40" i="5"/>
  <c r="AD39" i="5"/>
  <c r="AD36" i="5"/>
  <c r="AD35" i="5"/>
  <c r="AD34" i="5"/>
  <c r="AD33" i="5"/>
  <c r="AD32" i="5"/>
  <c r="AD31" i="5"/>
  <c r="AD30" i="5"/>
  <c r="AD4" i="5"/>
  <c r="AB1" i="5" l="1"/>
  <c r="AD1" i="5"/>
  <c r="AG1" i="5" s="1"/>
  <c r="AJ1" i="5" s="1"/>
  <c r="AB281" i="4"/>
  <c r="AB280" i="4"/>
  <c r="AB143" i="4"/>
  <c r="AB125" i="4"/>
  <c r="AB78" i="4"/>
  <c r="AB63" i="4"/>
  <c r="AD138" i="4" l="1"/>
  <c r="AD120" i="4"/>
  <c r="AF4" i="4"/>
  <c r="AF7" i="4"/>
  <c r="AF8" i="4"/>
  <c r="AF24" i="4"/>
  <c r="AF25" i="4"/>
  <c r="AF26" i="4"/>
  <c r="AF27" i="4"/>
  <c r="AF28" i="4"/>
  <c r="AF29" i="4"/>
  <c r="AF30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6" i="4"/>
  <c r="AF48" i="4"/>
  <c r="AF49" i="4"/>
  <c r="AF50" i="4"/>
  <c r="AF51" i="4"/>
  <c r="AF52" i="4"/>
  <c r="AF53" i="4"/>
  <c r="AF54" i="4"/>
  <c r="AF55" i="4"/>
  <c r="AF56" i="4"/>
  <c r="AF57" i="4"/>
  <c r="AF59" i="4"/>
  <c r="AF60" i="4"/>
  <c r="AF63" i="4"/>
  <c r="AF64" i="4"/>
  <c r="AF65" i="4"/>
  <c r="AF70" i="4"/>
  <c r="AF74" i="4"/>
  <c r="AF75" i="4"/>
  <c r="AF78" i="4"/>
  <c r="AF79" i="4"/>
  <c r="AF80" i="4"/>
  <c r="AF85" i="4"/>
  <c r="AF89" i="4"/>
  <c r="AF90" i="4"/>
  <c r="AF95" i="4"/>
  <c r="AF96" i="4"/>
  <c r="AF101" i="4"/>
  <c r="AF102" i="4"/>
  <c r="AF107" i="4"/>
  <c r="AF108" i="4"/>
  <c r="AF114" i="4"/>
  <c r="AF115" i="4"/>
  <c r="AF117" i="4"/>
  <c r="AF119" i="4"/>
  <c r="AF123" i="4"/>
  <c r="AF124" i="4"/>
  <c r="AF125" i="4"/>
  <c r="AF126" i="4"/>
  <c r="AF127" i="4"/>
  <c r="AF133" i="4"/>
  <c r="AF134" i="4"/>
  <c r="AF137" i="4"/>
  <c r="AF141" i="4"/>
  <c r="AF142" i="4"/>
  <c r="AF143" i="4"/>
  <c r="AF144" i="4"/>
  <c r="AF150" i="4"/>
  <c r="AF151" i="4"/>
  <c r="AF154" i="4"/>
  <c r="AF202" i="4"/>
  <c r="AF203" i="4"/>
  <c r="AF204" i="4"/>
  <c r="AF205" i="4"/>
  <c r="AF206" i="4"/>
  <c r="AF207" i="4"/>
  <c r="AF208" i="4"/>
  <c r="AF209" i="4"/>
  <c r="AF210" i="4"/>
  <c r="AF211" i="4"/>
  <c r="AF212" i="4"/>
  <c r="AF213" i="4"/>
  <c r="AF214" i="4"/>
  <c r="AF215" i="4"/>
  <c r="AF216" i="4"/>
  <c r="AF217" i="4"/>
  <c r="AF218" i="4"/>
  <c r="AF219" i="4"/>
  <c r="AF220" i="4"/>
  <c r="AF228" i="4"/>
  <c r="AF229" i="4"/>
  <c r="AF232" i="4"/>
  <c r="AF238" i="4"/>
  <c r="AF239" i="4"/>
  <c r="AF242" i="4"/>
  <c r="AF250" i="4"/>
  <c r="AF251" i="4"/>
  <c r="AF252" i="4"/>
  <c r="AF257" i="4"/>
  <c r="AF258" i="4"/>
  <c r="AF259" i="4"/>
  <c r="AF260" i="4"/>
  <c r="AF261" i="4"/>
  <c r="AF262" i="4"/>
  <c r="AF263" i="4"/>
  <c r="AF264" i="4"/>
  <c r="AF265" i="4"/>
  <c r="AF266" i="4"/>
  <c r="AF267" i="4"/>
  <c r="AF268" i="4"/>
  <c r="AF269" i="4"/>
  <c r="AF270" i="4"/>
  <c r="AF271" i="4"/>
  <c r="AF272" i="4"/>
  <c r="AF273" i="4"/>
  <c r="AF274" i="4"/>
  <c r="AF275" i="4"/>
  <c r="AF276" i="4"/>
  <c r="AF277" i="4"/>
  <c r="AF278" i="4"/>
  <c r="AF279" i="4"/>
  <c r="AF280" i="4"/>
  <c r="AF281" i="4"/>
  <c r="AF282" i="4"/>
  <c r="AF284" i="4"/>
  <c r="AF285" i="4"/>
  <c r="AF286" i="4"/>
  <c r="AF287" i="4"/>
  <c r="AF288" i="4"/>
  <c r="AF289" i="4"/>
  <c r="AF290" i="4"/>
  <c r="AF291" i="4"/>
  <c r="AF292" i="4"/>
  <c r="AF293" i="4"/>
  <c r="AF294" i="4"/>
  <c r="AF295" i="4"/>
  <c r="AF296" i="4"/>
  <c r="AF297" i="4"/>
  <c r="AF298" i="4"/>
  <c r="AF299" i="4"/>
  <c r="AF300" i="4"/>
  <c r="AF302" i="4"/>
  <c r="AF303" i="4"/>
  <c r="AF305" i="4"/>
  <c r="AF306" i="4"/>
  <c r="AF307" i="4"/>
  <c r="AF308" i="4"/>
  <c r="AF311" i="4"/>
  <c r="AD4" i="4"/>
  <c r="AD7" i="4"/>
  <c r="AD8" i="4"/>
  <c r="AD24" i="4"/>
  <c r="AD25" i="4"/>
  <c r="AD26" i="4"/>
  <c r="AD27" i="4"/>
  <c r="AD28" i="4"/>
  <c r="AD29" i="4"/>
  <c r="AD30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6" i="4"/>
  <c r="AD48" i="4"/>
  <c r="AD49" i="4"/>
  <c r="AD50" i="4"/>
  <c r="AD51" i="4"/>
  <c r="AD52" i="4"/>
  <c r="AD53" i="4"/>
  <c r="AD54" i="4"/>
  <c r="AD55" i="4"/>
  <c r="AD56" i="4"/>
  <c r="AD57" i="4"/>
  <c r="AD59" i="4"/>
  <c r="AD60" i="4"/>
  <c r="AD63" i="4"/>
  <c r="AD64" i="4"/>
  <c r="AD65" i="4"/>
  <c r="AD70" i="4"/>
  <c r="AD74" i="4"/>
  <c r="AD75" i="4"/>
  <c r="AD78" i="4"/>
  <c r="AD79" i="4"/>
  <c r="AD80" i="4"/>
  <c r="AD85" i="4"/>
  <c r="AD89" i="4"/>
  <c r="AD90" i="4"/>
  <c r="AD95" i="4"/>
  <c r="AD96" i="4"/>
  <c r="AD101" i="4"/>
  <c r="AD102" i="4"/>
  <c r="AD107" i="4"/>
  <c r="AD108" i="4"/>
  <c r="AD114" i="4"/>
  <c r="AD115" i="4"/>
  <c r="AD117" i="4"/>
  <c r="AD119" i="4"/>
  <c r="AD123" i="4"/>
  <c r="AD124" i="4"/>
  <c r="AD125" i="4"/>
  <c r="AD126" i="4"/>
  <c r="AD127" i="4"/>
  <c r="AD133" i="4"/>
  <c r="AD134" i="4"/>
  <c r="AD137" i="4"/>
  <c r="AD141" i="4"/>
  <c r="AD142" i="4"/>
  <c r="AD143" i="4"/>
  <c r="AD144" i="4"/>
  <c r="AD150" i="4"/>
  <c r="AD151" i="4"/>
  <c r="AD154" i="4"/>
  <c r="AD202" i="4"/>
  <c r="AD203" i="4"/>
  <c r="AD204" i="4"/>
  <c r="AD205" i="4"/>
  <c r="AD206" i="4"/>
  <c r="AD207" i="4"/>
  <c r="AD208" i="4"/>
  <c r="AD209" i="4"/>
  <c r="AD210" i="4"/>
  <c r="AD211" i="4"/>
  <c r="AD212" i="4"/>
  <c r="AD213" i="4"/>
  <c r="AD214" i="4"/>
  <c r="AD215" i="4"/>
  <c r="AD216" i="4"/>
  <c r="AD217" i="4"/>
  <c r="AD218" i="4"/>
  <c r="AD219" i="4"/>
  <c r="AD220" i="4"/>
  <c r="AD228" i="4"/>
  <c r="AD229" i="4"/>
  <c r="AD232" i="4"/>
  <c r="AD238" i="4"/>
  <c r="AD239" i="4"/>
  <c r="AD242" i="4"/>
  <c r="AD250" i="4"/>
  <c r="AD251" i="4"/>
  <c r="AD252" i="4"/>
  <c r="AD257" i="4"/>
  <c r="AD258" i="4"/>
  <c r="AD259" i="4"/>
  <c r="AD260" i="4"/>
  <c r="AD261" i="4"/>
  <c r="AD262" i="4"/>
  <c r="AD263" i="4"/>
  <c r="AD264" i="4"/>
  <c r="AD265" i="4"/>
  <c r="AD266" i="4"/>
  <c r="AD267" i="4"/>
  <c r="AD268" i="4"/>
  <c r="AD269" i="4"/>
  <c r="AD270" i="4"/>
  <c r="AD271" i="4"/>
  <c r="AD272" i="4"/>
  <c r="AD273" i="4"/>
  <c r="AD274" i="4"/>
  <c r="AD275" i="4"/>
  <c r="AD276" i="4"/>
  <c r="AD277" i="4"/>
  <c r="AD278" i="4"/>
  <c r="AD279" i="4"/>
  <c r="AD280" i="4"/>
  <c r="AD281" i="4"/>
  <c r="AD282" i="4"/>
  <c r="AD284" i="4"/>
  <c r="AD285" i="4"/>
  <c r="AD286" i="4"/>
  <c r="AD287" i="4"/>
  <c r="AD288" i="4"/>
  <c r="AD289" i="4"/>
  <c r="AD290" i="4"/>
  <c r="AD291" i="4"/>
  <c r="AD292" i="4"/>
  <c r="AD293" i="4"/>
  <c r="AD294" i="4"/>
  <c r="AD295" i="4"/>
  <c r="AD296" i="4"/>
  <c r="AD297" i="4"/>
  <c r="AD298" i="4"/>
  <c r="AD299" i="4"/>
  <c r="AD300" i="4"/>
  <c r="AD302" i="4"/>
  <c r="AD303" i="4"/>
  <c r="AD305" i="4"/>
  <c r="AD306" i="4"/>
  <c r="AD307" i="4"/>
  <c r="AD308" i="4"/>
  <c r="AD311" i="4"/>
  <c r="AF283" i="4" l="1"/>
  <c r="AF67" i="4"/>
  <c r="AD283" i="4"/>
  <c r="AD67" i="4"/>
  <c r="AB141" i="4" l="1"/>
  <c r="AB123" i="4"/>
  <c r="AB107" i="4"/>
  <c r="AB95" i="4"/>
  <c r="AF61" i="4"/>
  <c r="AF62" i="4"/>
  <c r="AF66" i="4"/>
  <c r="AF76" i="4"/>
  <c r="AF77" i="4"/>
  <c r="AF81" i="4"/>
  <c r="AF91" i="4"/>
  <c r="AF92" i="4"/>
  <c r="AF93" i="4"/>
  <c r="AF97" i="4"/>
  <c r="AF103" i="4"/>
  <c r="AF104" i="4"/>
  <c r="AF105" i="4"/>
  <c r="AF109" i="4"/>
  <c r="AF118" i="4"/>
  <c r="AF120" i="4"/>
  <c r="AF121" i="4"/>
  <c r="AF128" i="4"/>
  <c r="AF136" i="4"/>
  <c r="AF138" i="4"/>
  <c r="AF139" i="4"/>
  <c r="AF145" i="4"/>
  <c r="AF157" i="4"/>
  <c r="AF168" i="4"/>
  <c r="AF222" i="4"/>
  <c r="AF231" i="4"/>
  <c r="AF241" i="4"/>
  <c r="AF310" i="4"/>
  <c r="AD61" i="4"/>
  <c r="AD62" i="4"/>
  <c r="AD66" i="4"/>
  <c r="AD76" i="4"/>
  <c r="AD77" i="4"/>
  <c r="AD81" i="4"/>
  <c r="AD91" i="4"/>
  <c r="AD92" i="4"/>
  <c r="AD93" i="4"/>
  <c r="AD97" i="4"/>
  <c r="AD103" i="4"/>
  <c r="AD104" i="4"/>
  <c r="AD105" i="4"/>
  <c r="AD109" i="4"/>
  <c r="AD118" i="4"/>
  <c r="AD121" i="4"/>
  <c r="AD128" i="4"/>
  <c r="AD136" i="4"/>
  <c r="AD139" i="4"/>
  <c r="AD145" i="4"/>
  <c r="AD157" i="4"/>
  <c r="AD168" i="4"/>
  <c r="AD222" i="4"/>
  <c r="AD231" i="4"/>
  <c r="AD241" i="4"/>
  <c r="AD310" i="4"/>
  <c r="AB1" i="4" l="1"/>
  <c r="AD1" i="4"/>
  <c r="AI1" i="4" s="1"/>
  <c r="AL1" i="4" s="1"/>
  <c r="AF1" i="4"/>
  <c r="E314" i="4" l="1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B147" i="4"/>
  <c r="E146" i="4"/>
  <c r="E145" i="4"/>
  <c r="E144" i="4"/>
  <c r="E143" i="4"/>
  <c r="E142" i="4"/>
  <c r="B141" i="4"/>
  <c r="E140" i="4"/>
  <c r="E139" i="4"/>
  <c r="E138" i="4"/>
  <c r="B138" i="4"/>
  <c r="E137" i="4"/>
  <c r="E136" i="4"/>
  <c r="E135" i="4"/>
  <c r="E134" i="4"/>
  <c r="E133" i="4"/>
  <c r="E132" i="4"/>
  <c r="E131" i="4"/>
  <c r="E130" i="4"/>
  <c r="B130" i="4"/>
  <c r="E129" i="4"/>
  <c r="E128" i="4"/>
  <c r="E127" i="4"/>
  <c r="E126" i="4"/>
  <c r="E125" i="4"/>
  <c r="E124" i="4"/>
  <c r="B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B111" i="4"/>
  <c r="E110" i="4"/>
  <c r="E109" i="4"/>
  <c r="E108" i="4"/>
  <c r="E107" i="4"/>
  <c r="B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B95" i="4"/>
  <c r="E94" i="4"/>
  <c r="E93" i="4"/>
  <c r="E92" i="4"/>
  <c r="E91" i="4"/>
  <c r="E90" i="4"/>
  <c r="E89" i="4"/>
  <c r="E88" i="4"/>
  <c r="B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B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B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B21" i="4"/>
  <c r="E20" i="4"/>
  <c r="B20" i="4"/>
  <c r="E19" i="4"/>
  <c r="B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9" i="4" s="1"/>
  <c r="B90" i="4" s="1"/>
  <c r="B91" i="4" s="1"/>
  <c r="B92" i="4" s="1"/>
  <c r="B93" i="4" s="1"/>
  <c r="B94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8" i="4" s="1"/>
  <c r="B109" i="4" s="1"/>
  <c r="B110" i="4" s="1"/>
  <c r="B112" i="4" s="1"/>
  <c r="B113" i="4" s="1"/>
  <c r="B114" i="4" s="1"/>
  <c r="B115" i="4" s="1"/>
  <c r="B116" i="4" s="1"/>
  <c r="B117" i="4" s="1"/>
  <c r="B118" i="4" s="1"/>
  <c r="B119" i="4" s="1"/>
  <c r="B121" i="4" s="1"/>
  <c r="B122" i="4" s="1"/>
  <c r="B124" i="4" s="1"/>
  <c r="B125" i="4" s="1"/>
  <c r="B126" i="4" s="1"/>
  <c r="B127" i="4" s="1"/>
  <c r="B128" i="4" s="1"/>
  <c r="B129" i="4" s="1"/>
  <c r="B131" i="4" s="1"/>
  <c r="B132" i="4" s="1"/>
  <c r="B133" i="4" s="1"/>
  <c r="B134" i="4" s="1"/>
  <c r="B135" i="4" s="1"/>
  <c r="B136" i="4" s="1"/>
  <c r="B137" i="4" s="1"/>
  <c r="B139" i="4" s="1"/>
  <c r="B140" i="4" s="1"/>
  <c r="B142" i="4" s="1"/>
  <c r="B143" i="4" s="1"/>
  <c r="B144" i="4" s="1"/>
  <c r="B145" i="4" s="1"/>
  <c r="B146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E3" i="4"/>
  <c r="E314" i="3" l="1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B147" i="3"/>
  <c r="E146" i="3"/>
  <c r="E145" i="3"/>
  <c r="E144" i="3"/>
  <c r="E143" i="3"/>
  <c r="E142" i="3"/>
  <c r="B141" i="3"/>
  <c r="E140" i="3"/>
  <c r="E139" i="3"/>
  <c r="E138" i="3"/>
  <c r="B138" i="3"/>
  <c r="E137" i="3"/>
  <c r="E136" i="3"/>
  <c r="E135" i="3"/>
  <c r="E134" i="3"/>
  <c r="E133" i="3"/>
  <c r="E132" i="3"/>
  <c r="E131" i="3"/>
  <c r="E130" i="3"/>
  <c r="B130" i="3"/>
  <c r="E129" i="3"/>
  <c r="E128" i="3"/>
  <c r="E127" i="3"/>
  <c r="E126" i="3"/>
  <c r="E125" i="3"/>
  <c r="E124" i="3"/>
  <c r="B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B111" i="3"/>
  <c r="E110" i="3"/>
  <c r="E109" i="3"/>
  <c r="E108" i="3"/>
  <c r="E107" i="3"/>
  <c r="B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B95" i="3"/>
  <c r="E94" i="3"/>
  <c r="E93" i="3"/>
  <c r="E92" i="3"/>
  <c r="E91" i="3"/>
  <c r="E90" i="3"/>
  <c r="E89" i="3"/>
  <c r="E88" i="3"/>
  <c r="B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B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B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B21" i="3"/>
  <c r="E20" i="3"/>
  <c r="B20" i="3"/>
  <c r="E19" i="3"/>
  <c r="B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9" i="3" s="1"/>
  <c r="B90" i="3" s="1"/>
  <c r="B91" i="3" s="1"/>
  <c r="B92" i="3" s="1"/>
  <c r="B93" i="3" s="1"/>
  <c r="B94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8" i="3" s="1"/>
  <c r="B109" i="3" s="1"/>
  <c r="B110" i="3" s="1"/>
  <c r="B112" i="3" s="1"/>
  <c r="B113" i="3" s="1"/>
  <c r="B114" i="3" s="1"/>
  <c r="B115" i="3" s="1"/>
  <c r="B116" i="3" s="1"/>
  <c r="B117" i="3" s="1"/>
  <c r="B118" i="3" s="1"/>
  <c r="B119" i="3" s="1"/>
  <c r="B121" i="3" s="1"/>
  <c r="B122" i="3" s="1"/>
  <c r="B124" i="3" s="1"/>
  <c r="B125" i="3" s="1"/>
  <c r="B126" i="3" s="1"/>
  <c r="B127" i="3" s="1"/>
  <c r="B128" i="3" s="1"/>
  <c r="B129" i="3" s="1"/>
  <c r="B131" i="3" s="1"/>
  <c r="B132" i="3" s="1"/>
  <c r="B133" i="3" s="1"/>
  <c r="B134" i="3" s="1"/>
  <c r="B135" i="3" s="1"/>
  <c r="B136" i="3" s="1"/>
  <c r="B137" i="3" s="1"/>
  <c r="B139" i="3" s="1"/>
  <c r="B140" i="3" s="1"/>
  <c r="B142" i="3" s="1"/>
  <c r="B143" i="3" s="1"/>
  <c r="B144" i="3" s="1"/>
  <c r="B145" i="3" s="1"/>
  <c r="B146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E3" i="3"/>
  <c r="E147" i="2" l="1"/>
  <c r="B147" i="2"/>
  <c r="B138" i="2"/>
  <c r="E138" i="2"/>
  <c r="B141" i="2"/>
  <c r="B123" i="2"/>
  <c r="B130" i="2"/>
  <c r="E130" i="2"/>
  <c r="E120" i="2"/>
  <c r="E111" i="2"/>
  <c r="B111" i="2"/>
  <c r="B107" i="2"/>
  <c r="E107" i="2"/>
  <c r="B95" i="2"/>
  <c r="E95" i="2"/>
  <c r="E88" i="2"/>
  <c r="B88" i="2"/>
  <c r="E73" i="2"/>
  <c r="B73" i="2"/>
  <c r="E45" i="2"/>
  <c r="B45" i="2"/>
  <c r="E21" i="2"/>
  <c r="E20" i="2"/>
  <c r="E19" i="2"/>
  <c r="B21" i="2"/>
  <c r="B20" i="2"/>
  <c r="B19" i="2"/>
  <c r="E313" i="2" l="1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6" i="2"/>
  <c r="E145" i="2"/>
  <c r="E144" i="2"/>
  <c r="E143" i="2"/>
  <c r="E142" i="2"/>
  <c r="E140" i="2"/>
  <c r="E139" i="2"/>
  <c r="E137" i="2"/>
  <c r="E136" i="2"/>
  <c r="E135" i="2"/>
  <c r="E134" i="2"/>
  <c r="E133" i="2"/>
  <c r="E132" i="2"/>
  <c r="E131" i="2"/>
  <c r="E129" i="2"/>
  <c r="E128" i="2"/>
  <c r="E127" i="2"/>
  <c r="E126" i="2"/>
  <c r="E125" i="2"/>
  <c r="E124" i="2"/>
  <c r="E122" i="2"/>
  <c r="E121" i="2"/>
  <c r="E119" i="2"/>
  <c r="E118" i="2"/>
  <c r="E117" i="2"/>
  <c r="E116" i="2"/>
  <c r="E115" i="2"/>
  <c r="E114" i="2"/>
  <c r="E113" i="2"/>
  <c r="E112" i="2"/>
  <c r="E110" i="2"/>
  <c r="E109" i="2"/>
  <c r="E108" i="2"/>
  <c r="E106" i="2"/>
  <c r="E105" i="2"/>
  <c r="E104" i="2"/>
  <c r="E103" i="2"/>
  <c r="E102" i="2"/>
  <c r="E101" i="2"/>
  <c r="E100" i="2"/>
  <c r="E99" i="2"/>
  <c r="E98" i="2"/>
  <c r="E97" i="2"/>
  <c r="E96" i="2"/>
  <c r="E94" i="2"/>
  <c r="E93" i="2"/>
  <c r="E92" i="2"/>
  <c r="E91" i="2"/>
  <c r="E90" i="2"/>
  <c r="E89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31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9" i="2" s="1"/>
  <c r="B90" i="2" s="1"/>
  <c r="B91" i="2" s="1"/>
  <c r="B92" i="2" s="1"/>
  <c r="B93" i="2" s="1"/>
  <c r="B94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8" i="2" s="1"/>
  <c r="B109" i="2" s="1"/>
  <c r="B110" i="2" s="1"/>
  <c r="B112" i="2" s="1"/>
  <c r="B113" i="2" s="1"/>
  <c r="B114" i="2" s="1"/>
  <c r="B115" i="2" s="1"/>
  <c r="B116" i="2" s="1"/>
  <c r="B117" i="2" s="1"/>
  <c r="B118" i="2" s="1"/>
  <c r="B119" i="2" s="1"/>
  <c r="B121" i="2" s="1"/>
  <c r="B122" i="2" s="1"/>
  <c r="B124" i="2" s="1"/>
  <c r="B125" i="2" s="1"/>
  <c r="B126" i="2" s="1"/>
  <c r="B127" i="2" s="1"/>
  <c r="B128" i="2" s="1"/>
  <c r="B129" i="2" s="1"/>
  <c r="B131" i="2" s="1"/>
  <c r="B132" i="2" s="1"/>
  <c r="B133" i="2" s="1"/>
  <c r="B134" i="2" s="1"/>
  <c r="B135" i="2" s="1"/>
  <c r="B136" i="2" s="1"/>
  <c r="B137" i="2" s="1"/>
  <c r="B139" i="2" s="1"/>
  <c r="B140" i="2" s="1"/>
  <c r="B142" i="2" s="1"/>
  <c r="B143" i="2" s="1"/>
  <c r="B144" i="2" s="1"/>
  <c r="B145" i="2" s="1"/>
  <c r="B146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</calcChain>
</file>

<file path=xl/sharedStrings.xml><?xml version="1.0" encoding="utf-8"?>
<sst xmlns="http://schemas.openxmlformats.org/spreadsheetml/2006/main" count="16435" uniqueCount="1267">
  <si>
    <t>Structure Level</t>
  </si>
  <si>
    <t>Number</t>
  </si>
  <si>
    <t>Organization ID</t>
  </si>
  <si>
    <t>Version</t>
  </si>
  <si>
    <t>Name</t>
  </si>
  <si>
    <t>Line Number</t>
  </si>
  <si>
    <t>Find Number</t>
  </si>
  <si>
    <t>Quantity</t>
  </si>
  <si>
    <t>State</t>
  </si>
  <si>
    <t>Reference Designator</t>
  </si>
  <si>
    <t>0</t>
  </si>
  <si>
    <t>Axcelis</t>
  </si>
  <si>
    <t>CB.5 (Design)</t>
  </si>
  <si>
    <t>ASSY FACILITIES FEED ASSY</t>
  </si>
  <si>
    <t xml:space="preserve"> </t>
  </si>
  <si>
    <t>REL</t>
  </si>
  <si>
    <t>1</t>
  </si>
  <si>
    <t>B.7 (Design)</t>
  </si>
  <si>
    <t>2 Each</t>
  </si>
  <si>
    <t>N.1 (Design)</t>
  </si>
  <si>
    <t>KIT COOLING INEGRATION</t>
  </si>
  <si>
    <t>1 Each</t>
  </si>
  <si>
    <t>2</t>
  </si>
  <si>
    <t>A.1 (Design)</t>
  </si>
  <si>
    <t>380</t>
  </si>
  <si>
    <t>0 as needed</t>
  </si>
  <si>
    <t>D.3 (Design)</t>
  </si>
  <si>
    <t>FACIL SOURCE RETURN RED 46IN LENGTH</t>
  </si>
  <si>
    <t>290</t>
  </si>
  <si>
    <t>C.1 (Design)</t>
  </si>
  <si>
    <t>FACIL SOURCE SUPPLY BLU 46IN LENGTH</t>
  </si>
  <si>
    <t>300</t>
  </si>
  <si>
    <t>A.6 (Design)</t>
  </si>
  <si>
    <t>0 REF</t>
  </si>
  <si>
    <t>A.3 (Design)</t>
  </si>
  <si>
    <t>KIT SEL TOP WTR FEED XE</t>
  </si>
  <si>
    <t>3</t>
  </si>
  <si>
    <t>PROC TOP WTR FEED ORIENTATION</t>
  </si>
  <si>
    <t>Superseded</t>
  </si>
  <si>
    <t>A.2 (Design)</t>
  </si>
  <si>
    <t>KIT SEL BOT WTR FEED XE</t>
  </si>
  <si>
    <t>KIT SEL TOP WTR FEED EXE VXE</t>
  </si>
  <si>
    <t>KIT SEL BOT WTR FEED EXE VXE</t>
  </si>
  <si>
    <t>E.7 (Design)</t>
  </si>
  <si>
    <t>ASSY MAIN FACILITIES INTFC DIN RAIL</t>
  </si>
  <si>
    <t>A.16 (Design)</t>
  </si>
  <si>
    <t>MOD SIG CONV LINAC PS</t>
  </si>
  <si>
    <t>A.13 (Design)</t>
  </si>
  <si>
    <t>MOD SIG CONV 30VDC</t>
  </si>
  <si>
    <t>4</t>
  </si>
  <si>
    <t>A.8 (Design)</t>
  </si>
  <si>
    <t>CONV SIG 30VDC</t>
  </si>
  <si>
    <t>SCREW SHMET #6-32 X 5/8 PN/H/PH/M STL ZN PL</t>
  </si>
  <si>
    <t>A.7 (Design)</t>
  </si>
  <si>
    <t>CRP FERRULE 24AWG 3200632</t>
  </si>
  <si>
    <t>4 Each</t>
  </si>
  <si>
    <t>##.7 (Design)</t>
  </si>
  <si>
    <t>CONN M 6P</t>
  </si>
  <si>
    <t>C.0 (Design)</t>
  </si>
  <si>
    <t>CONN PIN 18-24AWG 600V 19-36A CONTACT</t>
  </si>
  <si>
    <t>B.1 (Design)</t>
  </si>
  <si>
    <t>STRAIN RLF MTX6CRT</t>
  </si>
  <si>
    <t>B.0 (Design)</t>
  </si>
  <si>
    <t>CABLE 24/3 SHLD</t>
  </si>
  <si>
    <t>0.8 Foot</t>
  </si>
  <si>
    <t>A.9 (Design)</t>
  </si>
  <si>
    <t>MOD SIG CONV PROC PS</t>
  </si>
  <si>
    <t>VALVE MANIFOLD 4 PORT</t>
  </si>
  <si>
    <t>20</t>
  </si>
  <si>
    <t>4-20MA TO 0-10V CONVERTER</t>
  </si>
  <si>
    <t>30</t>
  </si>
  <si>
    <t>DIN RAIL 11.5 INCH PRE-CUT</t>
  </si>
  <si>
    <t>100</t>
  </si>
  <si>
    <t>END CLAMP PHOENIX E/UK DINRAIL</t>
  </si>
  <si>
    <t>3 Each</t>
  </si>
  <si>
    <t>TERM BLOCK 24-12 AWG SCREW CONN 300V GRAY</t>
  </si>
  <si>
    <t>60</t>
  </si>
  <si>
    <t>70</t>
  </si>
  <si>
    <t>H.7 (Design)</t>
  </si>
  <si>
    <t>ASSY RGLTR HP-N2</t>
  </si>
  <si>
    <t>TUBING WELDMENT #1 HP-N2</t>
  </si>
  <si>
    <t>TUBE WELDMENT #2 HP-N2</t>
  </si>
  <si>
    <t>TUBING WELDMENT #3 HP-N2</t>
  </si>
  <si>
    <t>40</t>
  </si>
  <si>
    <t>TUBING SS 3/8 OD</t>
  </si>
  <si>
    <t>150</t>
  </si>
  <si>
    <t>LBL PROCESS N2</t>
  </si>
  <si>
    <t>VALVE REGULATOR ASSY</t>
  </si>
  <si>
    <t>160</t>
  </si>
  <si>
    <t>TRANSDUCER PRESSURE 1/4 IN VCR SST</t>
  </si>
  <si>
    <t>110</t>
  </si>
  <si>
    <t>C.3 (Design)</t>
  </si>
  <si>
    <t>ELBOW, 90 DEG., 3/8TH, CMPRSN, SST</t>
  </si>
  <si>
    <t>80</t>
  </si>
  <si>
    <t>C.2 (Design)</t>
  </si>
  <si>
    <t>RTNR ASSY GSKT VCR 1/4" MVCR SST AG PLATE</t>
  </si>
  <si>
    <t>90</t>
  </si>
  <si>
    <t>RTNR ASSY GSKT VCR 1/2" MVCR SST AG PLATE</t>
  </si>
  <si>
    <t>C.6 (Design)</t>
  </si>
  <si>
    <t>ASSY MANF FEED LINE 1</t>
  </si>
  <si>
    <t>D.2 (Design)</t>
  </si>
  <si>
    <t>PIPE PROCESS RETURN OUTLET 1</t>
  </si>
  <si>
    <t>PIPE PROCESS RETURN OUTLET 2</t>
  </si>
  <si>
    <t>VLV INLINE 2 WAY 1 FNPT X 1 FNPT MAN</t>
  </si>
  <si>
    <t>CONN 1" SANITARY 1" MNPT 316 SS NF</t>
  </si>
  <si>
    <t>CONN HOSE BRBD 1.5" MNPT 1.5" MNPT SST  NF</t>
  </si>
  <si>
    <t>50</t>
  </si>
  <si>
    <t>REDUCER UNION 1" TUBE 3/4" TUBE SST  NF</t>
  </si>
  <si>
    <t>GASKET GENERIC EPDM 1.5 IN SANITARY</t>
  </si>
  <si>
    <t>B.3 (Design)</t>
  </si>
  <si>
    <t>CLP SANITARY DBL BOLTED 1.5 IN SST NF</t>
  </si>
  <si>
    <t>A.43 (Design)</t>
  </si>
  <si>
    <t>NUT HEX 3/8-16 SST THIN PROFILE</t>
  </si>
  <si>
    <t>##.5 (Design)</t>
  </si>
  <si>
    <t>SEALANT PIPE THD MSPTS50 HARBR</t>
  </si>
  <si>
    <t>D.7 (Design)</t>
  </si>
  <si>
    <t>ASSY MANF FEED LINE 2</t>
  </si>
  <si>
    <t>A.10 (Design)</t>
  </si>
  <si>
    <t>MOD TC PINOUT LABELS</t>
  </si>
  <si>
    <t>GROUNDED PIPE PLUG PROBE TYPE J</t>
  </si>
  <si>
    <t>B.13 (Design)</t>
  </si>
  <si>
    <t>FERRULE LUG 24AWG YEL INSULATED</t>
  </si>
  <si>
    <t>PIPE PROCESS SUPPLY INLET 1</t>
  </si>
  <si>
    <t>PIPE PROCESS SUPPLY INLET 2</t>
  </si>
  <si>
    <t>D.6 (Design)</t>
  </si>
  <si>
    <t>ASSY MANF FEED LINE 3</t>
  </si>
  <si>
    <t>PIPE LINAC SUPPLY/RETURN INLET/OUTLET</t>
  </si>
  <si>
    <t>10</t>
  </si>
  <si>
    <t>PIPE LINAC SUPPLY INLET 2</t>
  </si>
  <si>
    <t>HOSE BRAIDED FLANGE OD 1.984 LENGTH 48" NF</t>
  </si>
  <si>
    <t>D.10 (Design)</t>
  </si>
  <si>
    <t>VLV BALL MNL 2WAY INLINE 1.5" FNPT-IN 1.5" FNPT-OUT</t>
  </si>
  <si>
    <t>8 Each</t>
  </si>
  <si>
    <t>120</t>
  </si>
  <si>
    <t>C.7 (Design)</t>
  </si>
  <si>
    <t>ASSY MANF FEED LINE 4</t>
  </si>
  <si>
    <t>PIPE LINAC RETURN OUTLET 2</t>
  </si>
  <si>
    <t>ASSY MANF FEED LINE 5</t>
  </si>
  <si>
    <t>PIPE DI SUPPLY INLET 2</t>
  </si>
  <si>
    <t>PIPE DI SUPPLY INLET 1</t>
  </si>
  <si>
    <t>FTG REDUCER 1/2 TUBE X 1 TUBE SST</t>
  </si>
  <si>
    <t>B.10 (Design)</t>
  </si>
  <si>
    <t>SNSR FL 3/4 IN MNPT SST RESISTIVITY ELECTRODES</t>
  </si>
  <si>
    <t>TEE UNION 1" CPRSN 1/2" CPRSN SST  NF</t>
  </si>
  <si>
    <t>CONN PORT 1/2 SS-811-PC SWAGE</t>
  </si>
  <si>
    <t>ELBOW 90 DEG 1/2  TUBE X 1/2 TUBE SST</t>
  </si>
  <si>
    <t>##.1 (Design)</t>
  </si>
  <si>
    <t>CONN F 1.00T X 3/4FNPT SS-1610-7-12 SWAGE</t>
  </si>
  <si>
    <t>ASSY MANF FEED LINE 6</t>
  </si>
  <si>
    <t>PIPE DI RETURN OUTLET 2</t>
  </si>
  <si>
    <t>PIPE DI RETURN OUTLET 1</t>
  </si>
  <si>
    <t>140</t>
  </si>
  <si>
    <t>MOD SENSOR RESISTIVITY</t>
  </si>
  <si>
    <t>MOD SINGLE CHANNEL RESISTIVITY/CONDUCTIVITY</t>
  </si>
  <si>
    <t>METER  DUAL CHANNEL TRANSMITTER</t>
  </si>
  <si>
    <t>AH.2 (Design)</t>
  </si>
  <si>
    <t>MARKING SPEC PROC</t>
  </si>
  <si>
    <t>MOD PRESSURE SIGNAL CONVERTER DIGITAL DISPLAY</t>
  </si>
  <si>
    <t>CONV SIGNAL DIGITAL DISPLAY INDICATOR</t>
  </si>
  <si>
    <t>A.0 (Design)</t>
  </si>
  <si>
    <t>HARN ADAPTER W/O DIGITAL SIGNAL</t>
  </si>
  <si>
    <t>C.21 (Design)</t>
  </si>
  <si>
    <t>TIE WRAP BLK 7.4IN NYL NF</t>
  </si>
  <si>
    <t>CONN CIRCULAR 5 PLUG CBL MNT</t>
  </si>
  <si>
    <t>CONN SKT 4 CBL MNT</t>
  </si>
  <si>
    <t>CONN CIRCULAR 4 POS M12 RCPT CBL MNT</t>
  </si>
  <si>
    <t>CBL CONNECTING SOCKET RECTANGULAR 4 PIN</t>
  </si>
  <si>
    <t>A.29 (Design)</t>
  </si>
  <si>
    <t>TBG SHRINK 1/4 BLK (CPS)</t>
  </si>
  <si>
    <t>0.5 Foot</t>
  </si>
  <si>
    <t>CABLE JKT 24AWG 3C SHLD 300V</t>
  </si>
  <si>
    <t>3.2 Each</t>
  </si>
  <si>
    <t>T.0 (Design)</t>
  </si>
  <si>
    <t>HARNESS CABLES WORKMANSHIP STANDARD</t>
  </si>
  <si>
    <t>F.0 (Design)</t>
  </si>
  <si>
    <t>TEST SPECIFICATION FOR CABLES &amp; HARNESS</t>
  </si>
  <si>
    <t>W.0 (Design)</t>
  </si>
  <si>
    <t>SPEC LBL ELECT/FIBER OPTIC/POLY HARNESSES/CABLES</t>
  </si>
  <si>
    <t>HARN MAIN FACILITIES BLKD</t>
  </si>
  <si>
    <t>SCREW SHMET #6-32 X 3/8 PN/H/PH/M STL ZN PL</t>
  </si>
  <si>
    <t>C.29 (Design)</t>
  </si>
  <si>
    <t>TIE WRAP BLK 5.6 INCHIN NYL NF</t>
  </si>
  <si>
    <t>CONN RCPT CPC PLASTIC SQ FLANGE 23-24 SERIES 1</t>
  </si>
  <si>
    <t>B.9 (Design)</t>
  </si>
  <si>
    <t>FERRULE LUG 26AWG GRA INSUL</t>
  </si>
  <si>
    <t>CONN PIN OR SOCKET 3 SURF MNT</t>
  </si>
  <si>
    <t>##.3 (Design)</t>
  </si>
  <si>
    <t>CONN M 4P PLUG</t>
  </si>
  <si>
    <t>B.5 (Design)</t>
  </si>
  <si>
    <t>SKT 18-24</t>
  </si>
  <si>
    <t>5 Each</t>
  </si>
  <si>
    <t>CONN F 6P</t>
  </si>
  <si>
    <t>CONN STRN RLF 3P 0.20 TO 0.35INCH OD</t>
  </si>
  <si>
    <t>ADPTR STRAIN RLF</t>
  </si>
  <si>
    <t>STRAIN RLF 4-PIN</t>
  </si>
  <si>
    <t>CONNECTOR PIN 20-24AWG TIN CRIMP</t>
  </si>
  <si>
    <t>58 Each</t>
  </si>
  <si>
    <t>CONNECTOR CPC SIZE 13 CABLE CLAMP</t>
  </si>
  <si>
    <t>PIN CRIMP 30-26</t>
  </si>
  <si>
    <t>CONN PIN 16-18 AWG INSULATION DIA 0.080-0.100 IN</t>
  </si>
  <si>
    <t>6 Each</t>
  </si>
  <si>
    <t>CONN RCPT CPC PLASTIC SQ FLANGE 13-9 PINS SERIES 1</t>
  </si>
  <si>
    <t>CONN HOOD &amp; CLAMP SHELL 23 PLASTIC</t>
  </si>
  <si>
    <t>CONN RCPT CPC PLAST SQ FLANGE 23-37 PINS SERIES 1</t>
  </si>
  <si>
    <t>D.11 (Design)</t>
  </si>
  <si>
    <t>FERRULE LUG 22AWG TURQUOISE INSULATED</t>
  </si>
  <si>
    <t>24 Each</t>
  </si>
  <si>
    <t>B.11 (Design)</t>
  </si>
  <si>
    <t>FERRULE LUG 18AWG RED INSULATED</t>
  </si>
  <si>
    <t>16 Each</t>
  </si>
  <si>
    <t>CABLE RT ANGLE SOCKET CONNECTOR SIM-M12-4WD-5-PU</t>
  </si>
  <si>
    <t>12 Each</t>
  </si>
  <si>
    <t>CBL ILLUMINATED SOLENOID</t>
  </si>
  <si>
    <t>B.41 (Design)</t>
  </si>
  <si>
    <t>CABLE #22/2 SHLD</t>
  </si>
  <si>
    <t>28 Foot</t>
  </si>
  <si>
    <t>B.6 (Design)</t>
  </si>
  <si>
    <t>WIRE UL1180 TYPE EE 22AWG VIOLET/TEFLON STRAND 19/</t>
  </si>
  <si>
    <t>10.5 Foot</t>
  </si>
  <si>
    <t>WIRE UL1180 TYPE EE 22AWG BRN/TEFLON STRAND 19/34</t>
  </si>
  <si>
    <t>3.8 Foot</t>
  </si>
  <si>
    <t>B.8 (Design)</t>
  </si>
  <si>
    <t>22 AWG/2PR</t>
  </si>
  <si>
    <t>9.75 Foot</t>
  </si>
  <si>
    <t>WIRE UL1180 TYPE EE 18AWG VIOLET/TEFLON STRAND 19X</t>
  </si>
  <si>
    <t>4.5 Foot</t>
  </si>
  <si>
    <t>A.5 (Design)</t>
  </si>
  <si>
    <t>WIRE UL1180 TYPE EE 18AWG BRN/TEFLON STRAND 19/30</t>
  </si>
  <si>
    <t>5.9 Foot</t>
  </si>
  <si>
    <t>D.5 (Design)</t>
  </si>
  <si>
    <t>TBG SS 3/8 OD</t>
  </si>
  <si>
    <t>FRAME MANIFOLD SUPPORT 1</t>
  </si>
  <si>
    <t>E.3 (Design)</t>
  </si>
  <si>
    <t>FRAME MANF SPRT 2</t>
  </si>
  <si>
    <t>G.1 (Design)</t>
  </si>
  <si>
    <t>FRAME FACILITIES SUPPORT</t>
  </si>
  <si>
    <t>LABELS FACILITIES VALVE FEED</t>
  </si>
  <si>
    <t>J.1 (Design)</t>
  </si>
  <si>
    <t>FRAME FACILITIES</t>
  </si>
  <si>
    <t>TUBING SS OD 3/8 IN</t>
  </si>
  <si>
    <t>BRKT FLAT FRAME SUPPORT</t>
  </si>
  <si>
    <t>BRKT FRAME SUPPORT</t>
  </si>
  <si>
    <t>BRKT MOUNT DISPLAY UNIT</t>
  </si>
  <si>
    <t>C.10 (Design)</t>
  </si>
  <si>
    <t>LBL FACILITIES MODULE</t>
  </si>
  <si>
    <t>E.1 (Design)</t>
  </si>
  <si>
    <t>BLKHD #1 FACILITIES FEED</t>
  </si>
  <si>
    <t>CONN BLKD 3/8" SOCKET 6 WAY ACETAL</t>
  </si>
  <si>
    <t>B.35 (Design)</t>
  </si>
  <si>
    <t>TUBING POLYFLOW OD 3/8IN YELLOW</t>
  </si>
  <si>
    <t>A.14 (Design)</t>
  </si>
  <si>
    <t>TUBING POLYFLOW 3/8 BLU GOUL</t>
  </si>
  <si>
    <t>PROC PROD DEV POLYFLOW HARNESS WORKMANSHIP STD</t>
  </si>
  <si>
    <t>C.18 (Design)</t>
  </si>
  <si>
    <t>MARKER TIE WRAP NYLON 6.6 YELLOW WITH BLACK TEXT</t>
  </si>
  <si>
    <t>B.16 (Design)</t>
  </si>
  <si>
    <t>MARKER TIE WRAP NYLON 6.6 BLUE WITH WHITE TEXT</t>
  </si>
  <si>
    <t>10 Each</t>
  </si>
  <si>
    <t>BLKHD #2 FACILITIES FEED</t>
  </si>
  <si>
    <t>PLUG 3/8 TUBE ONE TOUCH</t>
  </si>
  <si>
    <t>130</t>
  </si>
  <si>
    <t>H.1 (Design)</t>
  </si>
  <si>
    <t>BLKHD #3 FACILITIES FEED</t>
  </si>
  <si>
    <t>REDUCER PLUG-IN PLASTIC 3/8" TO 1/4"</t>
  </si>
  <si>
    <t>B.46 (Design)</t>
  </si>
  <si>
    <t>TUBING POLYFLOW OD 1/4IN YELLOW</t>
  </si>
  <si>
    <t>C.16 (Design)</t>
  </si>
  <si>
    <t>TUBING,POLYFLO,3/8 GREEN</t>
  </si>
  <si>
    <t>D.14 (Design)</t>
  </si>
  <si>
    <t>MARKER TIE WRAP NYLON 6.6 GREEN WITH BLACK TEXT</t>
  </si>
  <si>
    <t>C.9 (Design)</t>
  </si>
  <si>
    <t>AIR FILTER/REGULATOR</t>
  </si>
  <si>
    <t>FILTER CARTRIDGE NF</t>
  </si>
  <si>
    <t>FILTER SEALING RING NF</t>
  </si>
  <si>
    <t>GA PRESSURE SENSOR</t>
  </si>
  <si>
    <t>GAS REGULATOR</t>
  </si>
  <si>
    <t>VACUUM GAUGE</t>
  </si>
  <si>
    <t>N2-GAS REGULATOR BANK-6</t>
  </si>
  <si>
    <t>NON-VENTING GAS REGULATOR ASSEMBLY</t>
  </si>
  <si>
    <t>PNL MOUNTING KIT</t>
  </si>
  <si>
    <t>VALVE ON-OFF HE-3/8-D-MINI-NPT</t>
  </si>
  <si>
    <t>D.8 (Design)</t>
  </si>
  <si>
    <t>VLV BALL MNL 2WAY INLINE 1/4" CPRSN -IN 1/4" CPRSN -OUT</t>
  </si>
  <si>
    <t>MANIFOLD AIR 10 PORT ONE TOUCH 3/8T" X 1/2"T</t>
  </si>
  <si>
    <t>CONN 1/4" PORT 1/4" TUBE ADAPTER SST  NF</t>
  </si>
  <si>
    <t>B.17 (Design)</t>
  </si>
  <si>
    <t>UNION 3/8 TUBE SST NF</t>
  </si>
  <si>
    <t>PLUG H/H 1/4 MNPT SST</t>
  </si>
  <si>
    <t>ELBOW 90 DEG 1/4  TUBE X 1/4 TUBE SST</t>
  </si>
  <si>
    <t>CONNECTOR MALE 3/8" T X 3/8" P</t>
  </si>
  <si>
    <t>CONN M RDCR 3/8T TO 3/8T</t>
  </si>
  <si>
    <t>ELBOW 90 DEG 1/4" MNPT 3/8" PUSH-IN PLSTC/SST NF</t>
  </si>
  <si>
    <t>ELBOW 90 DEG 3/8" PLUG-IN 3/8" PUSH-IN PLASTIC NF</t>
  </si>
  <si>
    <t>B.14 (Design)</t>
  </si>
  <si>
    <t>ELB 90 DEG 3/8" PUSH-IN X 1/2" PLUG-IN PBT NF</t>
  </si>
  <si>
    <t>PLUG 1/2 TUBE ONE TOUCH</t>
  </si>
  <si>
    <t>BLANKING PLUG B-1/8</t>
  </si>
  <si>
    <t>BLANK ALUMINUM VALVE TAG</t>
  </si>
  <si>
    <t>C.8 (Design)</t>
  </si>
  <si>
    <t>CLP SPRT TUBE 1 IN DIA PP NF</t>
  </si>
  <si>
    <t>C.5 (Design)</t>
  </si>
  <si>
    <t>CLP SPRT TUBE 1 1/2 IN DIA PP NF</t>
  </si>
  <si>
    <t>A.36 (Design)</t>
  </si>
  <si>
    <t>WSHR FLAT #10 SCR 0.2INID 0.375INOD 0.050INTHK STL ZN PLATE</t>
  </si>
  <si>
    <t>C.4 (Design)</t>
  </si>
  <si>
    <t>A.44 (Design)</t>
  </si>
  <si>
    <t>B.58 (Design)</t>
  </si>
  <si>
    <t>SCREW #8-32 X .625 SC/H/CAP SST NF</t>
  </si>
  <si>
    <t>SCREW 1/4-20 X .625 SC/H/CAP SST NF</t>
  </si>
  <si>
    <t>A.42 (Design)</t>
  </si>
  <si>
    <t>NUT HEX #4-40 SST NF</t>
  </si>
  <si>
    <t>NUT HEX 1/4-20 SST NF</t>
  </si>
  <si>
    <t>WASHER FLAT 1/4 X .050THK .281ID .625OD SST NF</t>
  </si>
  <si>
    <t>SCREW 1/4-20 X 2.000 SC/H/CAP SST NF</t>
  </si>
  <si>
    <t>A.57 (Design)</t>
  </si>
  <si>
    <t>WASHER FLAT #8 SST</t>
  </si>
  <si>
    <t>SCREW 1/4-20 X 3.000 SC/H/CAP SST NF</t>
  </si>
  <si>
    <t>A.12 (Design)</t>
  </si>
  <si>
    <t>SCREW #4-40 X .500 BTN/H/M SST NF</t>
  </si>
  <si>
    <t>##.9 (Design)</t>
  </si>
  <si>
    <t>SCREW #10-32 X 3/8 SC/H/CAP SST CAPTIVE</t>
  </si>
  <si>
    <t>B.26 (Design)</t>
  </si>
  <si>
    <t>WASHER FLAT M4 X .80THK 4.3ID 9.0OD SST NF</t>
  </si>
  <si>
    <t>SCREW 1/4-20 X 3/4 SC/H/CAP STL ZN PL</t>
  </si>
  <si>
    <t>SCREW #8-32 X 1.50 SC/H/CAP STL ZN PL</t>
  </si>
  <si>
    <t>##.55 (Design)</t>
  </si>
  <si>
    <t>WASHER FLAT #8 BLK NYL</t>
  </si>
  <si>
    <t>9 Each</t>
  </si>
  <si>
    <t>C.28 (Design)</t>
  </si>
  <si>
    <t>TIE WRAP BLACK 14.5 IN NYL NF</t>
  </si>
  <si>
    <t>15 Each</t>
  </si>
  <si>
    <t>36 Foot</t>
  </si>
  <si>
    <t>A.19 (Design)</t>
  </si>
  <si>
    <t>TUBING POLYFLOW OD 3/8IN BLACK</t>
  </si>
  <si>
    <t>65 Foot</t>
  </si>
  <si>
    <t>B.27 (Design)</t>
  </si>
  <si>
    <t>TUBE 1/2 OD X .062 WALL NATURAL NYLOSEAL</t>
  </si>
  <si>
    <t>80 Foot</t>
  </si>
  <si>
    <t>20 Foot</t>
  </si>
  <si>
    <t>TUBING, POLY-FLO, 3/8 BLUE</t>
  </si>
  <si>
    <t>LBL 1.5 IN TORQUE WTR HOSE CLAMPS</t>
  </si>
  <si>
    <t>MARKER PIPE ARROW TAPE 1IN YEL OR EQUIV</t>
  </si>
  <si>
    <t>MARKER PIPE ARROW TAPE 1IN GRN OR EQUIV</t>
  </si>
  <si>
    <t>OHE HEAT EXCHANGE FEEDWATER FIXTURE</t>
    <phoneticPr fontId="2" type="noConversion"/>
  </si>
  <si>
    <t>가공</t>
    <phoneticPr fontId="2" type="noConversion"/>
  </si>
  <si>
    <t>NO</t>
    <phoneticPr fontId="2" type="noConversion"/>
  </si>
  <si>
    <t>표준품</t>
    <phoneticPr fontId="2" type="noConversion"/>
  </si>
  <si>
    <t>WSHR LK SPLIT #4 SCR 0.114INID 0.209INOD 0.025INTHK SST PASS</t>
    <phoneticPr fontId="2" type="noConversion"/>
  </si>
  <si>
    <t>WASHER FLAT #4 X .033THK .125ID .312OD SST NF</t>
    <phoneticPr fontId="2" type="noConversion"/>
  </si>
  <si>
    <t>44S0019</t>
    <phoneticPr fontId="2" type="noConversion"/>
  </si>
  <si>
    <t>7641-0001-0306</t>
    <phoneticPr fontId="2" type="noConversion"/>
  </si>
  <si>
    <t>MT CA TIE PM2H25 PANDUIT</t>
    <phoneticPr fontId="2" type="noConversion"/>
  </si>
  <si>
    <t>사양서</t>
  </si>
  <si>
    <t>표준품</t>
  </si>
  <si>
    <t>조립도</t>
    <phoneticPr fontId="2" type="noConversion"/>
  </si>
  <si>
    <t>작업도면</t>
    <phoneticPr fontId="2" type="noConversion"/>
  </si>
  <si>
    <t>CRP FERRULE 24AWG 3200632</t>
    <phoneticPr fontId="2" type="noConversion"/>
  </si>
  <si>
    <t>CABLE</t>
    <phoneticPr fontId="2" type="noConversion"/>
  </si>
  <si>
    <t>RELAY ISOLATION DPDT 24VDC COIL 5A 250VAC 5542754</t>
    <phoneticPr fontId="2" type="noConversion"/>
  </si>
  <si>
    <t>TUBING SS 3/8 OD (3/8" 외경(O.D.) x 0.35벽두께 316L 전해연마</t>
    <phoneticPr fontId="2" type="noConversion"/>
  </si>
  <si>
    <t>명판</t>
    <phoneticPr fontId="2" type="noConversion"/>
  </si>
  <si>
    <t>SEALANT PIPE THD MSPTS50 HARBR</t>
    <phoneticPr fontId="2" type="noConversion"/>
  </si>
  <si>
    <t>가공품</t>
  </si>
  <si>
    <t>KIT SEL WTR FEED ORIENTATION</t>
    <phoneticPr fontId="2" type="noConversion"/>
  </si>
  <si>
    <t>수량</t>
    <phoneticPr fontId="2" type="noConversion"/>
  </si>
  <si>
    <t>작업도면</t>
    <phoneticPr fontId="2" type="noConversion"/>
  </si>
  <si>
    <t>CONN HOSE BRBD 1.5" MNPT 1.5" MNPT SST  NF</t>
    <phoneticPr fontId="2" type="noConversion"/>
  </si>
  <si>
    <t>44S0093</t>
    <phoneticPr fontId="2" type="noConversion"/>
  </si>
  <si>
    <t>44S0093</t>
    <phoneticPr fontId="2" type="noConversion"/>
  </si>
  <si>
    <t>ADPTR STR 1.5" MNPT X 1.5" SAN SST NF</t>
    <phoneticPr fontId="2" type="noConversion"/>
  </si>
  <si>
    <t>NUT HEX #8-32 SST NF</t>
    <phoneticPr fontId="2" type="noConversion"/>
  </si>
  <si>
    <t>230000667VM</t>
    <phoneticPr fontId="2" type="noConversion"/>
  </si>
  <si>
    <t>BOLT 1/4-20 7/8 HEX HEAD SST</t>
    <phoneticPr fontId="2" type="noConversion"/>
  </si>
  <si>
    <t>조립도</t>
    <phoneticPr fontId="2" type="noConversion"/>
  </si>
  <si>
    <t>구매제품X</t>
    <phoneticPr fontId="2" type="noConversion"/>
  </si>
  <si>
    <t>표준품</t>
    <phoneticPr fontId="2" type="noConversion"/>
  </si>
  <si>
    <t>표준품</t>
    <phoneticPr fontId="2" type="noConversion"/>
  </si>
  <si>
    <t>작업도면</t>
    <phoneticPr fontId="2" type="noConversion"/>
  </si>
  <si>
    <t>2001-0022-0011</t>
    <phoneticPr fontId="2" type="noConversion"/>
  </si>
  <si>
    <t>2001-0022-0011</t>
    <phoneticPr fontId="2" type="noConversion"/>
  </si>
  <si>
    <t>44S0093</t>
    <phoneticPr fontId="2" type="noConversion"/>
  </si>
  <si>
    <t>7641-0001-0406</t>
    <phoneticPr fontId="2" type="noConversion"/>
  </si>
  <si>
    <t>NUT HEX 3/8-16 SST THIN PROFILE</t>
    <phoneticPr fontId="2" type="noConversion"/>
  </si>
  <si>
    <t>하위 lv</t>
    <phoneticPr fontId="2" type="noConversion"/>
  </si>
  <si>
    <t>하위 lv</t>
    <phoneticPr fontId="2" type="noConversion"/>
  </si>
  <si>
    <t>하위 lv</t>
    <phoneticPr fontId="2" type="noConversion"/>
  </si>
  <si>
    <t>TBG POLYFLOW 3/8 ORN 66-P GOUL</t>
    <phoneticPr fontId="2" type="noConversion"/>
  </si>
  <si>
    <t>CBL 90DEG ANGLED 2MLG 4PIN M12 ADAPTOR</t>
    <phoneticPr fontId="2" type="noConversion"/>
  </si>
  <si>
    <t>FTG REDUCER 1/2 TUBE X 1 TUBE SST</t>
    <phoneticPr fontId="2" type="noConversion"/>
  </si>
  <si>
    <t>ADPTR STR 1.5" MNPT X 1.5" SAN SST NF</t>
    <phoneticPr fontId="2" type="noConversion"/>
  </si>
  <si>
    <t>SCREW M4 X 0.7 X 10 BTN/H/M SST NF</t>
    <phoneticPr fontId="2" type="noConversion"/>
  </si>
  <si>
    <t>0581-0008-0207</t>
    <phoneticPr fontId="2" type="noConversion"/>
  </si>
  <si>
    <t>구분 2</t>
    <phoneticPr fontId="2" type="noConversion"/>
  </si>
  <si>
    <t>가공품</t>
    <phoneticPr fontId="2" type="noConversion"/>
  </si>
  <si>
    <t>가공품</t>
    <phoneticPr fontId="2" type="noConversion"/>
  </si>
  <si>
    <t>표준품</t>
    <phoneticPr fontId="2" type="noConversion"/>
  </si>
  <si>
    <t>배관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</si>
  <si>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</si>
  <si>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</si>
  <si>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</si>
  <si>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하네스</t>
    <phoneticPr fontId="2" type="noConversion"/>
  </si>
  <si>
    <t>-</t>
    <phoneticPr fontId="2" type="noConversion"/>
  </si>
  <si>
    <t>표준품</t>
    <phoneticPr fontId="2" type="noConversion"/>
  </si>
  <si>
    <t>PROC PROD DEV POLYFLOW HARNESS WORKMANSHIP STD</t>
    <phoneticPr fontId="2" type="noConversion"/>
  </si>
  <si>
    <t>,</t>
    <phoneticPr fontId="2" type="noConversion"/>
  </si>
  <si>
    <t>구분 1</t>
    <phoneticPr fontId="2" type="noConversion"/>
  </si>
  <si>
    <t>TRIM</t>
    <phoneticPr fontId="2" type="noConversion"/>
  </si>
  <si>
    <t>CB.5</t>
  </si>
  <si>
    <t>B.7</t>
  </si>
  <si>
    <t>N.1</t>
  </si>
  <si>
    <t>A.1</t>
  </si>
  <si>
    <t>D.3</t>
  </si>
  <si>
    <t>C.1</t>
  </si>
  <si>
    <t>A.6</t>
  </si>
  <si>
    <t>G.5</t>
  </si>
  <si>
    <t>A.16</t>
  </si>
  <si>
    <t>A.13</t>
  </si>
  <si>
    <t>A.8</t>
  </si>
  <si>
    <t>A.3</t>
  </si>
  <si>
    <t>A.7</t>
  </si>
  <si>
    <t>##.7</t>
  </si>
  <si>
    <t>C.0</t>
  </si>
  <si>
    <t>B.1</t>
  </si>
  <si>
    <t>B.0</t>
  </si>
  <si>
    <t>A.9</t>
  </si>
  <si>
    <t>D.5</t>
  </si>
  <si>
    <t>J.3</t>
  </si>
  <si>
    <t>C.3</t>
  </si>
  <si>
    <t>D.11</t>
  </si>
  <si>
    <t>B.12</t>
  </si>
  <si>
    <t>E.8</t>
  </si>
  <si>
    <t>D.2</t>
  </si>
  <si>
    <t>B.3</t>
  </si>
  <si>
    <t>A.43</t>
  </si>
  <si>
    <t>##.5</t>
  </si>
  <si>
    <t>F.9</t>
  </si>
  <si>
    <t>B.4</t>
  </si>
  <si>
    <t>B.13</t>
  </si>
  <si>
    <t>G.9</t>
  </si>
  <si>
    <t>D.15</t>
  </si>
  <si>
    <t>B.5</t>
  </si>
  <si>
    <t>D.10</t>
  </si>
  <si>
    <t>B.10</t>
  </si>
  <si>
    <t>F.7</t>
  </si>
  <si>
    <t>##.1</t>
  </si>
  <si>
    <t>F.8</t>
  </si>
  <si>
    <t>AJ.3</t>
  </si>
  <si>
    <t>A.0</t>
  </si>
  <si>
    <t>C.21</t>
  </si>
  <si>
    <t>A.29</t>
  </si>
  <si>
    <t>W.3</t>
  </si>
  <si>
    <t>F.0</t>
  </si>
  <si>
    <t>Y.3</t>
  </si>
  <si>
    <t>C.29</t>
  </si>
  <si>
    <t>B.9</t>
  </si>
  <si>
    <t>C.7</t>
  </si>
  <si>
    <t>##.3</t>
  </si>
  <si>
    <t>B.11</t>
  </si>
  <si>
    <t>B.41</t>
  </si>
  <si>
    <t>B.6</t>
  </si>
  <si>
    <t>B.8</t>
  </si>
  <si>
    <t>A.5</t>
  </si>
  <si>
    <t>C.6</t>
  </si>
  <si>
    <t>G.1</t>
  </si>
  <si>
    <t>K.7</t>
  </si>
  <si>
    <t>C.10</t>
  </si>
  <si>
    <t>E.1</t>
  </si>
  <si>
    <t>B.35</t>
  </si>
  <si>
    <t>A.14</t>
  </si>
  <si>
    <t>C.18</t>
  </si>
  <si>
    <t>B.16</t>
  </si>
  <si>
    <t>H.1</t>
  </si>
  <si>
    <t>B.46</t>
  </si>
  <si>
    <t>C.16</t>
  </si>
  <si>
    <t>D.14</t>
  </si>
  <si>
    <t>C.9</t>
  </si>
  <si>
    <t>D.6</t>
  </si>
  <si>
    <t>D.8</t>
  </si>
  <si>
    <t>D.7</t>
  </si>
  <si>
    <t>B.17</t>
  </si>
  <si>
    <t>B.14</t>
  </si>
  <si>
    <t>C.8</t>
  </si>
  <si>
    <t>C.5</t>
  </si>
  <si>
    <t>B.26</t>
  </si>
  <si>
    <t>C.4</t>
  </si>
  <si>
    <t>A.44</t>
  </si>
  <si>
    <t>B.58</t>
  </si>
  <si>
    <t>A.42</t>
  </si>
  <si>
    <t>A.57</t>
  </si>
  <si>
    <t>A.12</t>
  </si>
  <si>
    <t>##.9</t>
  </si>
  <si>
    <t>##.55</t>
  </si>
  <si>
    <t>C.28</t>
  </si>
  <si>
    <t>A.19</t>
  </si>
  <si>
    <t>B.27</t>
  </si>
  <si>
    <t>A.1 (Design)</t>
    <phoneticPr fontId="2" type="noConversion"/>
  </si>
  <si>
    <t>KIT REPLACEMENT SIG CONV</t>
    <phoneticPr fontId="2" type="noConversion"/>
  </si>
  <si>
    <t>PART REORT VER</t>
    <phoneticPr fontId="2" type="noConversion"/>
  </si>
  <si>
    <t>600001344</t>
  </si>
  <si>
    <t>860213518</t>
  </si>
  <si>
    <t>A</t>
  </si>
  <si>
    <t>LCD DSPL DIN RAIL MNT 0-10V 4-20MA SIG CONDITIONER</t>
  </si>
  <si>
    <t>PROC ALT SIG CONV</t>
  </si>
  <si>
    <t>REMARK</t>
    <phoneticPr fontId="2" type="noConversion"/>
  </si>
  <si>
    <t>E-&gt; G</t>
    <phoneticPr fontId="2" type="noConversion"/>
  </si>
  <si>
    <t>수량 0 REF KIT 추가 Reference 이므로 단가 반영 x</t>
    <phoneticPr fontId="2" type="noConversion"/>
  </si>
  <si>
    <t>A</t>
    <phoneticPr fontId="2" type="noConversion"/>
  </si>
  <si>
    <t>LCD DSPL DIN RAIL MNT 0-10V 4-20MA SIG CONDITIONER</t>
    <phoneticPr fontId="2" type="noConversion"/>
  </si>
  <si>
    <t>REV A -&gt; REV B로 변경</t>
    <phoneticPr fontId="2" type="noConversion"/>
  </si>
  <si>
    <t>CONTACT20 AWG FERRULES / 
FERRULE LUG 24AWG YEL INSULATED</t>
    <phoneticPr fontId="2" type="noConversion"/>
  </si>
  <si>
    <t>5102969에서 500000396으로 변경</t>
    <phoneticPr fontId="2" type="noConversion"/>
  </si>
  <si>
    <t>Rev D -&gt; G로 변경</t>
    <phoneticPr fontId="2" type="noConversion"/>
  </si>
  <si>
    <t>Rev A -&gt; B로 변경</t>
    <phoneticPr fontId="2" type="noConversion"/>
  </si>
  <si>
    <t>항목 추가 / 0 REF 제품으로 단가 반영 X</t>
    <phoneticPr fontId="2" type="noConversion"/>
  </si>
  <si>
    <t>ADPTR STR 1.5" MNPT X 1.5" SAN SST NF</t>
    <phoneticPr fontId="2" type="noConversion"/>
  </si>
  <si>
    <t xml:space="preserve">    900000909</t>
  </si>
  <si>
    <t>3402049 -&gt; 340216341로 변경</t>
    <phoneticPr fontId="2" type="noConversion"/>
  </si>
  <si>
    <t>0 as needed</t>
    <phoneticPr fontId="2" type="noConversion"/>
  </si>
  <si>
    <t>110144620 REV F에서는 사용 X</t>
    <phoneticPr fontId="2" type="noConversion"/>
  </si>
  <si>
    <t>"108-1"</t>
    <phoneticPr fontId="2" type="noConversion"/>
  </si>
  <si>
    <t>항목 추가</t>
    <phoneticPr fontId="2" type="noConversion"/>
  </si>
  <si>
    <t>TAPE PTFE 260IN LG X 1/2IN W X 4MILS THK SST</t>
    <phoneticPr fontId="2" type="noConversion"/>
  </si>
  <si>
    <t>KIT 100213515 구성품</t>
    <phoneticPr fontId="2" type="noConversion"/>
  </si>
  <si>
    <t>ASSY 제품 Rev C -&gt; F로 변경</t>
    <phoneticPr fontId="2" type="noConversion"/>
  </si>
  <si>
    <t>B</t>
    <phoneticPr fontId="2" type="noConversion"/>
  </si>
  <si>
    <t>RDCR PORT CONN 1"" TUBE X 1/2"" TUBE SST NF</t>
    <phoneticPr fontId="2" type="noConversion"/>
  </si>
  <si>
    <t>110144630 REV F에서는 사용 X</t>
    <phoneticPr fontId="2" type="noConversion"/>
  </si>
  <si>
    <t>340218502로 변경</t>
    <phoneticPr fontId="2" type="noConversion"/>
  </si>
  <si>
    <t xml:space="preserve">케이블 </t>
    <phoneticPr fontId="2" type="noConversion"/>
  </si>
  <si>
    <t>REF E -&gt; F변경</t>
    <phoneticPr fontId="2" type="noConversion"/>
  </si>
  <si>
    <t>Rev B -&gt; C로 변경</t>
    <phoneticPr fontId="2" type="noConversion"/>
  </si>
  <si>
    <r>
      <t xml:space="preserve">3400490
</t>
    </r>
    <r>
      <rPr>
        <strike/>
        <sz val="10"/>
        <color rgb="FFFF0000"/>
        <rFont val="맑은 고딕"/>
        <family val="3"/>
        <charset val="129"/>
        <scheme val="major"/>
      </rPr>
      <t>→ 340218502</t>
    </r>
    <phoneticPr fontId="2" type="noConversion"/>
  </si>
  <si>
    <t>확인필요</t>
    <phoneticPr fontId="2" type="noConversion"/>
  </si>
  <si>
    <t>확인필요</t>
    <phoneticPr fontId="2" type="noConversion"/>
  </si>
  <si>
    <t>,</t>
    <phoneticPr fontId="2" type="noConversion"/>
  </si>
  <si>
    <t>NO</t>
    <phoneticPr fontId="2" type="noConversion"/>
  </si>
  <si>
    <t>TRIM</t>
    <phoneticPr fontId="2" type="noConversion"/>
  </si>
  <si>
    <t>PART REORT VER</t>
    <phoneticPr fontId="2" type="noConversion"/>
  </si>
  <si>
    <t>확인내용</t>
    <phoneticPr fontId="2" type="noConversion"/>
  </si>
  <si>
    <t>REMARK</t>
    <phoneticPr fontId="2" type="noConversion"/>
  </si>
  <si>
    <t>수량</t>
    <phoneticPr fontId="2" type="noConversion"/>
  </si>
  <si>
    <t>구분 1</t>
    <phoneticPr fontId="2" type="noConversion"/>
  </si>
  <si>
    <t>구분 2</t>
    <phoneticPr fontId="2" type="noConversion"/>
  </si>
  <si>
    <t>조립도</t>
    <phoneticPr fontId="2" type="noConversion"/>
  </si>
  <si>
    <t>조립도</t>
    <phoneticPr fontId="2" type="noConversion"/>
  </si>
  <si>
    <t>0581-0008-0207</t>
  </si>
  <si>
    <t>BOLT 1/4-20 7/8 HEX HEAD SST</t>
    <phoneticPr fontId="2" type="noConversion"/>
  </si>
  <si>
    <t>표준품</t>
    <phoneticPr fontId="2" type="noConversion"/>
  </si>
  <si>
    <t>표준품</t>
    <phoneticPr fontId="2" type="noConversion"/>
  </si>
  <si>
    <t>가공품</t>
    <phoneticPr fontId="2" type="noConversion"/>
  </si>
  <si>
    <t>가공</t>
    <phoneticPr fontId="2" type="noConversion"/>
  </si>
  <si>
    <t>표준품</t>
    <phoneticPr fontId="2" type="noConversion"/>
  </si>
  <si>
    <t>표준품</t>
    <phoneticPr fontId="2" type="noConversion"/>
  </si>
  <si>
    <t>KIT SEL WTR FEED ORIENTATION</t>
    <phoneticPr fontId="2" type="noConversion"/>
  </si>
  <si>
    <t>-</t>
    <phoneticPr fontId="2" type="noConversion"/>
  </si>
  <si>
    <t>구매제품X</t>
    <phoneticPr fontId="2" type="noConversion"/>
  </si>
  <si>
    <t>Superseded</t>
    <phoneticPr fontId="2" type="noConversion"/>
  </si>
  <si>
    <t>이상없음</t>
    <phoneticPr fontId="2" type="noConversion"/>
  </si>
  <si>
    <t>E-&gt; G</t>
    <phoneticPr fontId="2" type="noConversion"/>
  </si>
  <si>
    <t>수량0 반영X</t>
    <phoneticPr fontId="2" type="noConversion"/>
  </si>
  <si>
    <t>수량0 반영X</t>
    <phoneticPr fontId="2" type="noConversion"/>
  </si>
  <si>
    <t>수량 0 REF KIT 추가 Reference 이므로 단가 반영 x</t>
    <phoneticPr fontId="2" type="noConversion"/>
  </si>
  <si>
    <t>수량0 반영X</t>
    <phoneticPr fontId="2" type="noConversion"/>
  </si>
  <si>
    <t>KIT 100213515 구성품</t>
    <phoneticPr fontId="2" type="noConversion"/>
  </si>
  <si>
    <t>수량0 반영X</t>
    <phoneticPr fontId="2" type="noConversion"/>
  </si>
  <si>
    <t>KIT 100213515 구성품</t>
    <phoneticPr fontId="2" type="noConversion"/>
  </si>
  <si>
    <t>조립도</t>
    <phoneticPr fontId="2" type="noConversion"/>
  </si>
  <si>
    <t>조립도</t>
    <phoneticPr fontId="2" type="noConversion"/>
  </si>
  <si>
    <t>표준품</t>
    <phoneticPr fontId="2" type="noConversion"/>
  </si>
  <si>
    <t>표준품</t>
    <phoneticPr fontId="2" type="noConversion"/>
  </si>
  <si>
    <t>CRP FERRULE 24AWG 3200632</t>
    <phoneticPr fontId="2" type="noConversion"/>
  </si>
  <si>
    <t>표준품</t>
    <phoneticPr fontId="2" type="noConversion"/>
  </si>
  <si>
    <t>CABLE</t>
    <phoneticPr fontId="2" type="noConversion"/>
  </si>
  <si>
    <t>조립도</t>
    <phoneticPr fontId="2" type="noConversion"/>
  </si>
  <si>
    <t>작업도면</t>
    <phoneticPr fontId="2" type="noConversion"/>
  </si>
  <si>
    <t>CABLE</t>
    <phoneticPr fontId="2" type="noConversion"/>
  </si>
  <si>
    <t>A</t>
    <phoneticPr fontId="2" type="noConversion"/>
  </si>
  <si>
    <t>수량0 반영X</t>
    <phoneticPr fontId="2" type="noConversion"/>
  </si>
  <si>
    <t>항목 추가 / 0 REF 제품으로 단가 반영 X</t>
    <phoneticPr fontId="2" type="noConversion"/>
  </si>
  <si>
    <t>LCD DSPL DIN RAIL MNT 0-10V 4-20MA SIG CONDITIONER</t>
    <phoneticPr fontId="2" type="noConversion"/>
  </si>
  <si>
    <t>RELAY ISOLATION DPDT 24VDC COIL 5A 250VAC 5542754</t>
    <phoneticPr fontId="2" type="noConversion"/>
  </si>
  <si>
    <t>표준품</t>
    <phoneticPr fontId="2" type="noConversion"/>
  </si>
  <si>
    <t>조립도</t>
    <phoneticPr fontId="2" type="noConversion"/>
  </si>
  <si>
    <t>배관</t>
    <phoneticPr fontId="2" type="noConversion"/>
  </si>
  <si>
    <t>배관</t>
    <phoneticPr fontId="2" type="noConversion"/>
  </si>
  <si>
    <t>표준품</t>
    <phoneticPr fontId="2" type="noConversion"/>
  </si>
  <si>
    <t>44S0093</t>
    <phoneticPr fontId="2" type="noConversion"/>
  </si>
  <si>
    <t>44S0093</t>
  </si>
  <si>
    <t>NUT HEX 3/8-16 SST THIN PROFILE</t>
    <phoneticPr fontId="2" type="noConversion"/>
  </si>
  <si>
    <t>SEALANT PIPE THD MSPTS50 HARBR</t>
    <phoneticPr fontId="2" type="noConversion"/>
  </si>
  <si>
    <t>이상없음</t>
    <phoneticPr fontId="2" type="noConversion"/>
  </si>
  <si>
    <t>REV A -&gt; REV B로 변경</t>
    <phoneticPr fontId="2" type="noConversion"/>
  </si>
  <si>
    <t>작업도면</t>
    <phoneticPr fontId="2" type="noConversion"/>
  </si>
  <si>
    <t>-</t>
    <phoneticPr fontId="2" type="noConversion"/>
  </si>
  <si>
    <t>하위 lv</t>
    <phoneticPr fontId="2" type="noConversion"/>
  </si>
  <si>
    <t>5102969에서 500000396으로 변경</t>
    <phoneticPr fontId="2" type="noConversion"/>
  </si>
  <si>
    <t>-</t>
    <phoneticPr fontId="2" type="noConversion"/>
  </si>
  <si>
    <t>하위 lv</t>
    <phoneticPr fontId="2" type="noConversion"/>
  </si>
  <si>
    <t>A</t>
    <phoneticPr fontId="2" type="noConversion"/>
  </si>
  <si>
    <t>배관</t>
    <phoneticPr fontId="2" type="noConversion"/>
  </si>
  <si>
    <t>CONN HOSE BRBD 1.5" MNPT 1.5" MNPT SST  NF</t>
    <phoneticPr fontId="2" type="noConversion"/>
  </si>
  <si>
    <t>Rev D -&gt; G로 변경</t>
    <phoneticPr fontId="2" type="noConversion"/>
  </si>
  <si>
    <t>조립도</t>
    <phoneticPr fontId="2" type="noConversion"/>
  </si>
  <si>
    <t>가공품</t>
    <phoneticPr fontId="2" type="noConversion"/>
  </si>
  <si>
    <t>작업도면</t>
    <phoneticPr fontId="2" type="noConversion"/>
  </si>
  <si>
    <t>-</t>
    <phoneticPr fontId="2" type="noConversion"/>
  </si>
  <si>
    <t>하위 lv</t>
    <phoneticPr fontId="2" type="noConversion"/>
  </si>
  <si>
    <t>A</t>
    <phoneticPr fontId="2" type="noConversion"/>
  </si>
  <si>
    <t>배관</t>
    <phoneticPr fontId="2" type="noConversion"/>
  </si>
  <si>
    <t>A.1 로 견적냄</t>
    <phoneticPr fontId="2" type="noConversion"/>
  </si>
  <si>
    <t>A.1 로 견적냄</t>
    <phoneticPr fontId="2" type="noConversion"/>
  </si>
  <si>
    <t>A.1 (Design)</t>
    <phoneticPr fontId="2" type="noConversion"/>
  </si>
  <si>
    <t>Rev A -&gt; B로 변경</t>
    <phoneticPr fontId="2" type="noConversion"/>
  </si>
  <si>
    <t>ADPTR STR 1.5" MNPT X 1.5" SAN SST NF</t>
    <phoneticPr fontId="2" type="noConversion"/>
  </si>
  <si>
    <t>3402049 -&gt; 340216341로 변경</t>
    <phoneticPr fontId="2" type="noConversion"/>
  </si>
  <si>
    <t>44S0093</t>
    <phoneticPr fontId="2" type="noConversion"/>
  </si>
  <si>
    <t>이상없음</t>
    <phoneticPr fontId="2" type="noConversion"/>
  </si>
  <si>
    <t>ASSY 제품 Rev C -&gt; F로 변경</t>
    <phoneticPr fontId="2" type="noConversion"/>
  </si>
  <si>
    <t>ADPTR STR 1.5" MNPT X 1.5" SAN SST NF</t>
    <phoneticPr fontId="2" type="noConversion"/>
  </si>
  <si>
    <t>3402049 -&gt; 340216341로 변경</t>
    <phoneticPr fontId="2" type="noConversion"/>
  </si>
  <si>
    <t>44S0093</t>
    <phoneticPr fontId="2" type="noConversion"/>
  </si>
  <si>
    <t>항목 추가 / 0 REF 제품으로 단가 반영 X</t>
    <phoneticPr fontId="2" type="noConversion"/>
  </si>
  <si>
    <t>TAPE PTFE 260IN LG X 1/2IN W X 4MILS THK SST</t>
    <phoneticPr fontId="2" type="noConversion"/>
  </si>
  <si>
    <t>0 as needed</t>
    <phoneticPr fontId="2" type="noConversion"/>
  </si>
  <si>
    <t>ASSY 제품 Rev C -&gt; F로 변경</t>
    <phoneticPr fontId="2" type="noConversion"/>
  </si>
  <si>
    <t>2001-0022-0011</t>
    <phoneticPr fontId="2" type="noConversion"/>
  </si>
  <si>
    <t>2001-0022-0011</t>
  </si>
  <si>
    <t>110144620 REV F에서는 사용 X</t>
    <phoneticPr fontId="2" type="noConversion"/>
  </si>
  <si>
    <t>FTG REDUCER 1/2 TUBE X 1 TUBE SST</t>
    <phoneticPr fontId="2" type="noConversion"/>
  </si>
  <si>
    <t>"108-1"</t>
    <phoneticPr fontId="2" type="noConversion"/>
  </si>
  <si>
    <t>A.1 (Design)</t>
    <phoneticPr fontId="2" type="noConversion"/>
  </si>
  <si>
    <t>3400490
→ 340218502</t>
    <phoneticPr fontId="2" type="noConversion"/>
  </si>
  <si>
    <t>340218502로 변경</t>
    <phoneticPr fontId="2" type="noConversion"/>
  </si>
  <si>
    <t>B</t>
    <phoneticPr fontId="2" type="noConversion"/>
  </si>
  <si>
    <t>340218502로 변경</t>
    <phoneticPr fontId="2" type="noConversion"/>
  </si>
  <si>
    <t>RDCR PORT CONN 1"" TUBE X 1/2"" TUBE SST NF</t>
    <phoneticPr fontId="2" type="noConversion"/>
  </si>
  <si>
    <t>TAPE PTFE 260IN LG X 1/2IN W X 4MILS THK SST</t>
    <phoneticPr fontId="2" type="noConversion"/>
  </si>
  <si>
    <t>0 as needed</t>
    <phoneticPr fontId="2" type="noConversion"/>
  </si>
  <si>
    <t>110144630 REV F에서는 사용 X</t>
    <phoneticPr fontId="2" type="noConversion"/>
  </si>
  <si>
    <t>A.1 (Design)</t>
    <phoneticPr fontId="2" type="noConversion"/>
  </si>
  <si>
    <r>
      <t xml:space="preserve">3400490
</t>
    </r>
    <r>
      <rPr>
        <strike/>
        <sz val="10"/>
        <color rgb="FFFF0000"/>
        <rFont val="맑은 고딕"/>
        <family val="3"/>
        <charset val="129"/>
        <scheme val="major"/>
      </rPr>
      <t>→ 340218502</t>
    </r>
    <phoneticPr fontId="2" type="noConversion"/>
  </si>
  <si>
    <t>3400490
→ 340218502</t>
  </si>
  <si>
    <t>340218502로 변경</t>
    <phoneticPr fontId="2" type="noConversion"/>
  </si>
  <si>
    <t>B</t>
    <phoneticPr fontId="2" type="noConversion"/>
  </si>
  <si>
    <t>RDCR PORT CONN 1"" TUBE X 1/2"" TUBE SST NF</t>
    <phoneticPr fontId="2" type="noConversion"/>
  </si>
  <si>
    <t>44S0093</t>
    <phoneticPr fontId="2" type="noConversion"/>
  </si>
  <si>
    <t>A</t>
    <phoneticPr fontId="2" type="noConversion"/>
  </si>
  <si>
    <t>수량0 반영X</t>
  </si>
  <si>
    <t>항목 추가 / 0 REF 제품으로 단가 반영 X</t>
    <phoneticPr fontId="2" type="noConversion"/>
  </si>
  <si>
    <t>TAPE PTFE 260IN LG X 1/2IN W X 4MILS THK SST</t>
    <phoneticPr fontId="2" type="noConversion"/>
  </si>
  <si>
    <t>230000667VM</t>
    <phoneticPr fontId="2" type="noConversion"/>
  </si>
  <si>
    <t>230000667VM</t>
  </si>
  <si>
    <t>하네스</t>
    <phoneticPr fontId="2" type="noConversion"/>
  </si>
  <si>
    <t>하위 lv</t>
    <phoneticPr fontId="2" type="noConversion"/>
  </si>
  <si>
    <t>-</t>
    <phoneticPr fontId="2" type="noConversion"/>
  </si>
  <si>
    <t>이상없음</t>
    <phoneticPr fontId="2" type="noConversion"/>
  </si>
  <si>
    <t xml:space="preserve">케이블 </t>
    <phoneticPr fontId="2" type="noConversion"/>
  </si>
  <si>
    <t>가공품</t>
    <phoneticPr fontId="2" type="noConversion"/>
  </si>
  <si>
    <t>하네스</t>
    <phoneticPr fontId="2" type="noConversion"/>
  </si>
  <si>
    <t>하위 lv</t>
    <phoneticPr fontId="2" type="noConversion"/>
  </si>
  <si>
    <t>-</t>
    <phoneticPr fontId="2" type="noConversion"/>
  </si>
  <si>
    <t>하위 lv</t>
    <phoneticPr fontId="2" type="noConversion"/>
  </si>
  <si>
    <t>-</t>
    <phoneticPr fontId="2" type="noConversion"/>
  </si>
  <si>
    <t>하위 lv</t>
    <phoneticPr fontId="2" type="noConversion"/>
  </si>
  <si>
    <t>CBL 90DEG ANGLED 2MLG 4PIN M12 ADAPTOR</t>
    <phoneticPr fontId="2" type="noConversion"/>
  </si>
  <si>
    <t>-</t>
    <phoneticPr fontId="2" type="noConversion"/>
  </si>
  <si>
    <t>가공</t>
    <phoneticPr fontId="2" type="noConversion"/>
  </si>
  <si>
    <t>가공</t>
    <phoneticPr fontId="2" type="noConversion"/>
  </si>
  <si>
    <t>가공품</t>
    <phoneticPr fontId="2" type="noConversion"/>
  </si>
  <si>
    <t>REF E -&gt; F변경</t>
    <phoneticPr fontId="2" type="noConversion"/>
  </si>
  <si>
    <t>명판</t>
    <phoneticPr fontId="2" type="noConversion"/>
  </si>
  <si>
    <t>명판</t>
    <phoneticPr fontId="2" type="noConversion"/>
  </si>
  <si>
    <t>조립도</t>
    <phoneticPr fontId="2" type="noConversion"/>
  </si>
  <si>
    <t>표준품</t>
    <phoneticPr fontId="2" type="noConversion"/>
  </si>
  <si>
    <t>PROC PROD DEV POLYFLOW HARNESS WORKMANSHIP STD</t>
    <phoneticPr fontId="2" type="noConversion"/>
  </si>
  <si>
    <t>7641-0001-0406</t>
    <phoneticPr fontId="2" type="noConversion"/>
  </si>
  <si>
    <t>7641-0001-0406</t>
  </si>
  <si>
    <t>표준품</t>
    <phoneticPr fontId="2" type="noConversion"/>
  </si>
  <si>
    <t>표준품</t>
    <phoneticPr fontId="2" type="noConversion"/>
  </si>
  <si>
    <t>표준품</t>
    <phoneticPr fontId="2" type="noConversion"/>
  </si>
  <si>
    <t>A.1 로 견적냄</t>
  </si>
  <si>
    <t>Rev A -&gt; B로 변경</t>
    <phoneticPr fontId="2" type="noConversion"/>
  </si>
  <si>
    <t>SCREW M4 X 0.7 X 10 BTN/H/M SST NF</t>
    <phoneticPr fontId="2" type="noConversion"/>
  </si>
  <si>
    <t>NUT HEX #8-32 SST NF</t>
    <phoneticPr fontId="2" type="noConversion"/>
  </si>
  <si>
    <t>Rev B -&gt; C로 변경</t>
    <phoneticPr fontId="2" type="noConversion"/>
  </si>
  <si>
    <t>WSHR LK SPLIT #4 SCR 0.114INID 0.209INOD 0.025INTHK SST PASS</t>
    <phoneticPr fontId="2" type="noConversion"/>
  </si>
  <si>
    <t>WASHER FLAT #4 X .033THK .125ID .312OD SST NF</t>
    <phoneticPr fontId="2" type="noConversion"/>
  </si>
  <si>
    <t>44S0019</t>
    <phoneticPr fontId="2" type="noConversion"/>
  </si>
  <si>
    <t>44S0019</t>
  </si>
  <si>
    <t>MT CA TIE PM2H25 PANDUIT</t>
    <phoneticPr fontId="2" type="noConversion"/>
  </si>
  <si>
    <t>TBG POLYFLOW 3/8 ORN 66-P GOUL</t>
    <phoneticPr fontId="2" type="noConversion"/>
  </si>
  <si>
    <t>7641-0001-0306</t>
    <phoneticPr fontId="2" type="noConversion"/>
  </si>
  <si>
    <t>7641-0001-0306</t>
  </si>
  <si>
    <t>명판</t>
    <phoneticPr fontId="2" type="noConversion"/>
  </si>
  <si>
    <t>CONTACT20 AWG FERRULES / 
FERRULE LUG 24AWG YEL INSULATED</t>
    <phoneticPr fontId="2" type="noConversion"/>
  </si>
  <si>
    <t>변경내용없음</t>
    <phoneticPr fontId="2" type="noConversion"/>
  </si>
  <si>
    <t>이상없음</t>
    <phoneticPr fontId="2" type="noConversion"/>
  </si>
  <si>
    <t>단가차이있음
74,000원-&gt;86,894원
배송비 64,000원</t>
    <phoneticPr fontId="2" type="noConversion"/>
  </si>
  <si>
    <t>MAKER</t>
    <phoneticPr fontId="2" type="noConversion"/>
  </si>
  <si>
    <t>견적담당</t>
    <phoneticPr fontId="2" type="noConversion"/>
  </si>
  <si>
    <t>type</t>
    <phoneticPr fontId="2" type="noConversion"/>
  </si>
  <si>
    <t>SPEC</t>
    <phoneticPr fontId="2" type="noConversion"/>
  </si>
  <si>
    <t>구매처</t>
    <phoneticPr fontId="2" type="noConversion"/>
  </si>
  <si>
    <t>최종단가
선정사유</t>
    <phoneticPr fontId="2" type="noConversion"/>
  </si>
  <si>
    <t>통화구분</t>
    <phoneticPr fontId="2" type="noConversion"/>
  </si>
  <si>
    <t>엑셀리스 국산화제품</t>
    <phoneticPr fontId="2" type="noConversion"/>
  </si>
  <si>
    <t>단가</t>
    <phoneticPr fontId="2" type="noConversion"/>
  </si>
  <si>
    <t>금액</t>
    <phoneticPr fontId="2" type="noConversion"/>
  </si>
  <si>
    <t>NEGO 단가</t>
    <phoneticPr fontId="2" type="noConversion"/>
  </si>
  <si>
    <t>NEGO 금액</t>
    <phoneticPr fontId="2" type="noConversion"/>
  </si>
  <si>
    <t>10台 NEGO 단가</t>
    <phoneticPr fontId="2" type="noConversion"/>
  </si>
  <si>
    <t>10台 NEGO 금액</t>
    <phoneticPr fontId="2" type="noConversion"/>
  </si>
  <si>
    <t>-</t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</si>
  <si>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</si>
  <si>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</si>
  <si>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</si>
  <si>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</si>
  <si>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KRW</t>
  </si>
  <si>
    <t>Limited Manufacturer</t>
  </si>
  <si>
    <t>Sole Manufacturer</t>
  </si>
  <si>
    <t>Generic Manufacturer</t>
  </si>
  <si>
    <t>김진호</t>
  </si>
  <si>
    <t>이소라</t>
  </si>
  <si>
    <t>SWAGELOK
SWAGELOK
SWAGELOK
?
?</t>
  </si>
  <si>
    <t>SWAGELOK
SWAGELOK
SWAGELOK
SWAGELOK</t>
  </si>
  <si>
    <t>SWAGELOK
SWAGELOK
SWAGELOK
?</t>
  </si>
  <si>
    <t>?</t>
  </si>
  <si>
    <t>JESCO</t>
  </si>
  <si>
    <t>SWAGELOK</t>
  </si>
  <si>
    <t>SWAGELOK → WIKA 품목</t>
  </si>
  <si>
    <t>SWAGELOK
SUPERLOK</t>
  </si>
  <si>
    <t xml:space="preserve"> FITTING : SWAGELOK
TUBE : EQUIV</t>
  </si>
  <si>
    <t xml:space="preserve"> FITTING : SWAGELOK</t>
  </si>
  <si>
    <t>EQUIV</t>
  </si>
  <si>
    <t>나눔기술</t>
  </si>
  <si>
    <t>(주)스웨즈락코리아FST</t>
  </si>
  <si>
    <t>(주)제이코어텍</t>
  </si>
  <si>
    <t>BMT
(화인인스트루먼트)</t>
  </si>
  <si>
    <t>박경성</t>
  </si>
  <si>
    <t>작업지침서로 보임</t>
  </si>
  <si>
    <t>MARKING SPEC</t>
  </si>
  <si>
    <t>엔지니어링 정보/보고서</t>
  </si>
  <si>
    <t>PLM1M-P198A-C4Y_CE_PANDUIT_A_1_REL</t>
  </si>
  <si>
    <t>PLM1M-P319A-M6_CE_PANDUIT_A_1_REL</t>
  </si>
  <si>
    <t>MCMASTER OR EQUIV
SWAGELOK OR EQUIV : SG형번아님
SWAGELOK OR EQUIV : SG형번아님
SWAGELOK OR EQUIV : SG형번아님
SWAGELOK OR EQUIV : SG형번아님</t>
  </si>
  <si>
    <t>MCMASTER OR EQUIV
SWAGELOK OR EQUIV. : SG형번아님
SWAGELOK OR EQUIV : SG형번아님</t>
  </si>
  <si>
    <t xml:space="preserve">SMITH-COOPER </t>
  </si>
  <si>
    <t>MCMASTER CARR</t>
  </si>
  <si>
    <t>GRAINGER
AYER SALES</t>
  </si>
  <si>
    <t>STEEL &amp; O'BRIEN /GRAINGER</t>
  </si>
  <si>
    <t>STEEL &amp; O'BRIEN 
MCMASTER CARR</t>
  </si>
  <si>
    <t>최소단가 선정</t>
  </si>
  <si>
    <t>TE 메이커 선정</t>
  </si>
  <si>
    <t>AMP 메이커 선정</t>
  </si>
  <si>
    <t>고객사 선정업체</t>
  </si>
  <si>
    <t>고객사 단가 반영
5/30 원화 fix 단가 접수</t>
  </si>
  <si>
    <t>OMEGA 메이커 선정</t>
  </si>
  <si>
    <t>* 대체품 PHOENIX</t>
  </si>
  <si>
    <t>OMEGA ENGINEERING
Eaton - Cutler Hammer</t>
  </si>
  <si>
    <t>OMEGA</t>
  </si>
  <si>
    <t>WAGO</t>
  </si>
  <si>
    <t>MCMASTER OR EQUIV
SWAGELOK OR EQUIV. : SG형번아님
SWAGELOK OR EQUIV. : SG형번아님
SWAGELOK OR EQUIV. : SG형번아님
SWAGELOK OR EQUIV. : SG형번아님</t>
  </si>
  <si>
    <t>MCMASTER OR EQUIV
?
SWAGELOK OR EQUIV. : SG형번아님
SWAGELOK OR EQUIV. : SG형번아님</t>
  </si>
  <si>
    <t>1.  Swagelok  : SG형번아님
2.  Swagelok : SG형번아님
3.  MCMASTER
4.  ?</t>
  </si>
  <si>
    <t>1.  Swagelok : SG형번아님
2.  Swagelok : SG형번아님
3.  ?
4.  MCMASTER</t>
  </si>
  <si>
    <t>MCMASTER CARR
스페이스솔루션</t>
  </si>
  <si>
    <t>SMITH-COOPER</t>
  </si>
  <si>
    <t xml:space="preserve">ALFA-LAVAL
PARKER
MCMASTER
MCMASTER </t>
  </si>
  <si>
    <t>1.  Swagelok
2.  Swagelok
3.  MCMASTER</t>
  </si>
  <si>
    <t>1.  Swagelok
2.  Swagelok
3.  Swagelok
4  Swagelok
5.  MCMASTER</t>
  </si>
  <si>
    <t>invisor</t>
  </si>
  <si>
    <t>GF SIGNET</t>
  </si>
  <si>
    <t>FESTO</t>
  </si>
  <si>
    <t>FESTO
Lumberg Automation
TURCK
FESTO
Alpha Wire
REMTEK</t>
  </si>
  <si>
    <t>PANDUIT</t>
  </si>
  <si>
    <t>LUMBERG
TURCK</t>
  </si>
  <si>
    <t>TURCK</t>
  </si>
  <si>
    <t>ALPHA
REMTEK</t>
  </si>
  <si>
    <t>ALPHA WIRE</t>
  </si>
  <si>
    <t>BELDEN
BELDEN
BELDEN
BELDEN
BELDEN
BELDEN
ALPHA
ALPHA
ALPHA
ALPHA
ALPHA
ALPHA
Festo
MCMASTER
AMP
TYCO/AMP
AMP
AMP
AMP
AMP
AMP
AMP
AMP
Festo
SWAGELOK
AMP
AMP
AMP
AMP
TYCO</t>
  </si>
  <si>
    <t>ACCURATE
MCMASTER CARR
MAY-MIZU FASTENERS</t>
  </si>
  <si>
    <t>TYCO/AMP</t>
  </si>
  <si>
    <t>THOMAS &amp; BETTS
ABB CONTROLS</t>
  </si>
  <si>
    <t>TE</t>
  </si>
  <si>
    <t>TYCO/AMP
TE CONNECTIVITY</t>
  </si>
  <si>
    <t>TYCO-AMP
TE CONNECTIVITY</t>
  </si>
  <si>
    <t>AMP</t>
  </si>
  <si>
    <t xml:space="preserve">TYCO ELECTRONICS </t>
  </si>
  <si>
    <t>PHOENIX</t>
  </si>
  <si>
    <t>CAROL CABLE CO
BELDEN INC</t>
  </si>
  <si>
    <t>WEICO WIRE &amp; CABLE
BELDEN
ALPHA WIRE</t>
  </si>
  <si>
    <t>WEICO wire &amp; cable
BELDEN
ALPHA WIRE</t>
  </si>
  <si>
    <t>김민철</t>
  </si>
  <si>
    <t>강태원</t>
  </si>
  <si>
    <t>도면참조</t>
  </si>
  <si>
    <t>SS-4-VCR-2-GR : 9,000
SM4GR-SP : 1,500</t>
  </si>
  <si>
    <t>SS-8-VCR-2-GR : 10,200
SM8GR-SP : 1,800</t>
  </si>
  <si>
    <t>현재실적업체
(나눔기술)</t>
  </si>
  <si>
    <t>JESCO 국산화 승인</t>
  </si>
  <si>
    <t>* PART 부품비용만 적용
※ 조립비 제외</t>
  </si>
  <si>
    <t>WU-25 WIKA 품목선정</t>
  </si>
  <si>
    <t>limited Manufacturer</t>
  </si>
  <si>
    <t>(주)지원테크
삼테크</t>
  </si>
  <si>
    <t>지원테크</t>
  </si>
  <si>
    <t>한국미스미</t>
  </si>
  <si>
    <t>MCMASTER</t>
  </si>
  <si>
    <t>RAPTORSUPPLIES</t>
  </si>
  <si>
    <t>피에스디이</t>
  </si>
  <si>
    <t>새론이엔아이</t>
  </si>
  <si>
    <t>(주)훼스토</t>
  </si>
  <si>
    <t>미림테크놀러지</t>
  </si>
  <si>
    <t>체이스</t>
  </si>
  <si>
    <t>(주)라온알피에이</t>
  </si>
  <si>
    <t>케이블콘㈜</t>
  </si>
  <si>
    <t>(주)툴이즈</t>
  </si>
  <si>
    <t>맥파</t>
  </si>
  <si>
    <t>써미트일렉트릭</t>
  </si>
  <si>
    <t>(주)지원테크</t>
  </si>
  <si>
    <t>벨덴케이블</t>
  </si>
  <si>
    <t>동신이엔티</t>
  </si>
  <si>
    <t>1”-50M76-OH</t>
  </si>
  <si>
    <t>50485k511</t>
  </si>
  <si>
    <t>3LZ86 @48,924원
1-1/2IN X1-1/2IN</t>
  </si>
  <si>
    <t>40MP-1.5-EPDM / IWCP6</t>
  </si>
  <si>
    <t>MS-PTS-50</t>
  </si>
  <si>
    <t>CAROL CABLE 
BELDEN INC</t>
  </si>
  <si>
    <t>STEEL(+)팬헤드볼트-아연도금 (MOQ 1,000)</t>
  </si>
  <si>
    <t xml:space="preserve"> STRAIN RLF MTX6CRT AMP 1-640721-0 (도면참조)</t>
  </si>
  <si>
    <t>(주)에이치테크</t>
  </si>
  <si>
    <t>FESTO (MFG'S P/N :13102926)</t>
  </si>
  <si>
    <t>Eaton
→
PHOENIX</t>
  </si>
  <si>
    <t>5 BLANKING PLUG QBC-1/4H-U
4 PUSH-IN L-FITTING QBL-3/8-5/16-U-M
3 PUSH-IN L-FITTING QBL-1/8-1/4-7-M
2 VALVE TERMINAL CPVIO-VI
1 SILENCER UC-QS-8H</t>
  </si>
  <si>
    <t>DRC-8906       (납기 11주)</t>
  </si>
  <si>
    <t>TERMINAL BLOCK DIKD I . 5-PV 2715092 PHOENIX</t>
  </si>
  <si>
    <t>24VDC COIL 5A 250VAC 5542754 (도면참조)</t>
  </si>
  <si>
    <t>Parker
Parker
Brady</t>
  </si>
  <si>
    <t>백승빈</t>
  </si>
  <si>
    <t>팀스</t>
  </si>
  <si>
    <t>이니트</t>
  </si>
  <si>
    <t>단가+수입부대비용 적용</t>
  </si>
  <si>
    <t>MCMASER 메이커 선정</t>
  </si>
  <si>
    <t>메이커 GRAINGER 선정</t>
  </si>
  <si>
    <t>스웨즈락 단가적용</t>
  </si>
  <si>
    <t>USD</t>
  </si>
  <si>
    <t>최소단가 선정
+작업비용</t>
  </si>
  <si>
    <t>고객사 MCMASER 지정</t>
  </si>
  <si>
    <t>고객사 업체선정</t>
  </si>
  <si>
    <t>훼스토 단가적용</t>
  </si>
  <si>
    <t xml:space="preserve">PNEU-THERM LIMITED
TWINTEC INC </t>
  </si>
  <si>
    <t>SEAL PLASTICS
NEWAGE INDUSTRIES</t>
  </si>
  <si>
    <t>IMPERIAL EASTMAN</t>
  </si>
  <si>
    <t>참고자료: Swagelok Tube Fitter’s Manual</t>
  </si>
  <si>
    <t>주만테크</t>
  </si>
  <si>
    <t>주식회사 삼현테크</t>
  </si>
  <si>
    <t>공급사 확인불가
고객사 단가 반영</t>
  </si>
  <si>
    <t>SMC단가적용</t>
  </si>
  <si>
    <t>SMC</t>
  </si>
  <si>
    <t>FESTO
?
?
?
?
SWAGELOK</t>
  </si>
  <si>
    <t>FESTO
?
?
SWAGELOK</t>
  </si>
  <si>
    <t>FESTO
?
?
?
?
?</t>
  </si>
  <si>
    <t>?
?
SWAGELOK
FESTO
FESTO</t>
  </si>
  <si>
    <t>SWAGELOK
HYLOK</t>
  </si>
  <si>
    <t>SMC
SMC</t>
  </si>
  <si>
    <t>BRADY</t>
  </si>
  <si>
    <t>ZSI</t>
  </si>
  <si>
    <t>ACCURATE FASTENERS</t>
  </si>
  <si>
    <t>SEAL PLASTICS
NEWAGE INDUSTRIES
PARKER HANNIFIN</t>
  </si>
  <si>
    <t>SEAL PLASTICS</t>
  </si>
  <si>
    <t>Parker</t>
  </si>
  <si>
    <t>AXCELIS TECHNOLOGIES</t>
  </si>
  <si>
    <t>KQ2P-11</t>
  </si>
  <si>
    <t>PLM1M-P198B-C6</t>
  </si>
  <si>
    <t>8035561 SAMH-PN-F    8035561</t>
  </si>
  <si>
    <t xml:space="preserve">173894 VALVE ON-OFF HE-3/8-D-MINI-NPT    </t>
  </si>
  <si>
    <t>KM11-11-13-10</t>
  </si>
  <si>
    <t>SS-4-P</t>
  </si>
  <si>
    <t>KQ2R07-11A  : 1,260
KQR07-11 : 1,260</t>
  </si>
  <si>
    <t>KQ2L11-35S-X23</t>
  </si>
  <si>
    <t>KQ2L11-99A</t>
  </si>
  <si>
    <t>KQ2L11-13</t>
  </si>
  <si>
    <t>KQ2P-13</t>
  </si>
  <si>
    <t>S-3016</t>
  </si>
  <si>
    <t>S-5024</t>
  </si>
  <si>
    <t>FLAT WASHER  FW1120</t>
  </si>
  <si>
    <t>NUT HEX #8-32 SST NF</t>
  </si>
  <si>
    <t>0.114INID 0.209INOD 0.025INTHK</t>
  </si>
  <si>
    <t>0.033THK 0.125ID 0.312OD</t>
  </si>
  <si>
    <t>PLT1_5I-M0_PANDUIT_A_1_REL</t>
  </si>
  <si>
    <t>PLT4S-M0_PANDUIT_A_1_REL</t>
  </si>
  <si>
    <t>도면참조 (NICELABEL  900001200)</t>
  </si>
  <si>
    <t>지호인스트루먼트</t>
  </si>
  <si>
    <t>제이케이씨</t>
  </si>
  <si>
    <t>삼테크(주)</t>
  </si>
  <si>
    <t>최소단가 선정
(HYLOK)</t>
  </si>
  <si>
    <t>국내제품(전오)</t>
  </si>
  <si>
    <t>PARKER 선정
최소단가</t>
  </si>
  <si>
    <t>HellermannTyton</t>
  </si>
  <si>
    <t>IT18R5C2_HELLERMAN TYTON_A_1_REL</t>
  </si>
  <si>
    <t>TC-J-NPT-G-72      (납기 11주)</t>
  </si>
  <si>
    <t>1-1/2''-50M76 46495K25</t>
  </si>
  <si>
    <t>3-2819-1</t>
  </si>
  <si>
    <t>SS-811-PC (27,700) → SS-1611-PC-8 : (81,700)
SRPC-16-8 : 6,800</t>
  </si>
  <si>
    <t>3-9950.394-1 (CODE 159 001 846)</t>
  </si>
  <si>
    <t>3-9950-1 (CODE 159 001 841)</t>
  </si>
  <si>
    <t>8035555 (SCDN-2V-EC4-PNLK-L1)</t>
  </si>
  <si>
    <t>8035575 (2017-11a)</t>
  </si>
  <si>
    <t>PLT2S-M0_PANDUIT_A_1_REL</t>
  </si>
  <si>
    <t xml:space="preserve">RSCW 5/7
BS 8251 0/PG9   @ 56,500원 </t>
  </si>
  <si>
    <t>570922 (NECU-S-ECG4-HX-Q3)/PLUG, SQUARE,4-PIN</t>
  </si>
  <si>
    <t>B 8141-0</t>
  </si>
  <si>
    <t>572576(NEBS-L1G4-K-2.5-LE4)</t>
  </si>
  <si>
    <t>HARNESS CABLE 제작표준서</t>
  </si>
  <si>
    <t>케이블 및 하네스 시험 사양</t>
  </si>
  <si>
    <t>XSMS 6X3/8 PA ZN
90190A146     @ 60원   (MOQ 100개임)
00010755</t>
  </si>
  <si>
    <t>CONNECTOR 206838-1</t>
  </si>
  <si>
    <t>PTU-MC-5(4-PIN CIRCULAR CONNECTOR M12*1)</t>
  </si>
  <si>
    <r>
      <t xml:space="preserve">1 33482-12-12C (TUBE ADAPTER PARKER </t>
    </r>
    <r>
      <rPr>
        <sz val="10"/>
        <color rgb="FFFF0000"/>
        <rFont val="맑은 고딕"/>
        <family val="3"/>
        <charset val="129"/>
        <scheme val="major"/>
      </rPr>
      <t>@42,500</t>
    </r>
    <r>
      <rPr>
        <sz val="10"/>
        <rFont val="맑은 고딕"/>
        <family val="3"/>
        <charset val="129"/>
        <scheme val="major"/>
      </rPr>
      <t xml:space="preserve">
2 801-12-BLU (HOSE PARKER 3/4") </t>
    </r>
    <r>
      <rPr>
        <sz val="10"/>
        <color rgb="FFFF0000"/>
        <rFont val="맑은 고딕"/>
        <family val="3"/>
        <charset val="129"/>
        <scheme val="major"/>
      </rPr>
      <t>@8,000 (MOQ 10FT)</t>
    </r>
    <r>
      <rPr>
        <sz val="10"/>
        <rFont val="맑은 고딕"/>
        <family val="3"/>
        <charset val="129"/>
        <scheme val="major"/>
      </rPr>
      <t xml:space="preserve">
3 ATA-02 (91421) </t>
    </r>
    <r>
      <rPr>
        <sz val="10"/>
        <color rgb="FFFF0000"/>
        <rFont val="맑은 고딕"/>
        <family val="3"/>
        <charset val="129"/>
        <scheme val="major"/>
      </rPr>
      <t>@90,000</t>
    </r>
    <phoneticPr fontId="2" type="noConversion"/>
  </si>
  <si>
    <r>
      <t xml:space="preserve">STEEL(+)팬헤드볼트-아연도금 </t>
    </r>
    <r>
      <rPr>
        <sz val="10"/>
        <color rgb="FFFF0000"/>
        <rFont val="맑은 고딕"/>
        <family val="3"/>
        <charset val="129"/>
        <scheme val="major"/>
      </rPr>
      <t>(MOQ 1,000)</t>
    </r>
    <phoneticPr fontId="2" type="noConversion"/>
  </si>
  <si>
    <r>
      <t xml:space="preserve">3200632 </t>
    </r>
    <r>
      <rPr>
        <sz val="10"/>
        <color rgb="FFFF0000"/>
        <rFont val="맑은 고딕"/>
        <family val="3"/>
        <charset val="129"/>
        <scheme val="major"/>
      </rPr>
      <t>(MOQ 100EA)</t>
    </r>
    <phoneticPr fontId="2" type="noConversion"/>
  </si>
  <si>
    <r>
      <t xml:space="preserve">1-480704-0   </t>
    </r>
    <r>
      <rPr>
        <sz val="10"/>
        <color rgb="FFFF0000"/>
        <rFont val="맑은 고딕"/>
        <family val="3"/>
        <charset val="129"/>
        <scheme val="major"/>
      </rPr>
      <t xml:space="preserve">  (MOQ 10EA)</t>
    </r>
    <phoneticPr fontId="2" type="noConversion"/>
  </si>
  <si>
    <t>TYCO/AMP
TE CONNECTIVITY</t>
    <phoneticPr fontId="2" type="noConversion"/>
  </si>
  <si>
    <r>
      <t xml:space="preserve">350690-1     </t>
    </r>
    <r>
      <rPr>
        <sz val="10"/>
        <color rgb="FFFF0000"/>
        <rFont val="맑은 고딕"/>
        <family val="3"/>
        <charset val="129"/>
        <scheme val="major"/>
      </rPr>
      <t xml:space="preserve">  (MOQ 250EA) @320</t>
    </r>
    <r>
      <rPr>
        <sz val="10"/>
        <rFont val="맑은 고딕"/>
        <family val="3"/>
        <charset val="129"/>
        <scheme val="major"/>
      </rPr>
      <t xml:space="preserve">
350561-1       </t>
    </r>
    <r>
      <rPr>
        <sz val="10"/>
        <color rgb="FFFF0000"/>
        <rFont val="맑은 고딕"/>
        <family val="3"/>
        <charset val="129"/>
        <scheme val="major"/>
      </rPr>
      <t>(MOQ 700EA) @120</t>
    </r>
    <phoneticPr fontId="2" type="noConversion"/>
  </si>
  <si>
    <t xml:space="preserve"> STRAIN RLF MTX6CRT AMP 1-640721-0 (도면참조)</t>
    <phoneticPr fontId="2" type="noConversion"/>
  </si>
  <si>
    <r>
      <t>C0602A.18.10
9503</t>
    </r>
    <r>
      <rPr>
        <sz val="10"/>
        <color rgb="FFFF0000"/>
        <rFont val="맑은 고딕"/>
        <family val="3"/>
        <charset val="129"/>
        <scheme val="major"/>
      </rPr>
      <t xml:space="preserve"> (MOQ 150M) @ 3,920원</t>
    </r>
    <phoneticPr fontId="2" type="noConversion"/>
  </si>
  <si>
    <r>
      <t xml:space="preserve">3200632 </t>
    </r>
    <r>
      <rPr>
        <sz val="10"/>
        <color rgb="FFFF0000"/>
        <rFont val="맑은 고딕"/>
        <family val="3"/>
        <charset val="129"/>
        <scheme val="major"/>
      </rPr>
      <t>(MOQ 100EA)</t>
    </r>
    <phoneticPr fontId="2" type="noConversion"/>
  </si>
  <si>
    <r>
      <t xml:space="preserve">350690-1      </t>
    </r>
    <r>
      <rPr>
        <sz val="10"/>
        <color rgb="FFFF0000"/>
        <rFont val="맑은 고딕"/>
        <family val="3"/>
        <charset val="129"/>
        <scheme val="major"/>
      </rPr>
      <t xml:space="preserve"> (MOQ 250EA) @320</t>
    </r>
    <r>
      <rPr>
        <sz val="10"/>
        <rFont val="맑은 고딕"/>
        <family val="3"/>
        <charset val="129"/>
        <scheme val="major"/>
      </rPr>
      <t xml:space="preserve">
350561-1      </t>
    </r>
    <r>
      <rPr>
        <sz val="10"/>
        <color rgb="FFFF0000"/>
        <rFont val="맑은 고딕"/>
        <family val="3"/>
        <charset val="129"/>
        <scheme val="major"/>
      </rPr>
      <t xml:space="preserve"> (MOQ 700EA) @120</t>
    </r>
    <phoneticPr fontId="2" type="noConversion"/>
  </si>
  <si>
    <r>
      <t xml:space="preserve">C0602A.18.10
9503 </t>
    </r>
    <r>
      <rPr>
        <sz val="10"/>
        <color rgb="FFFF0000"/>
        <rFont val="맑은 고딕"/>
        <family val="3"/>
        <charset val="129"/>
        <scheme val="major"/>
      </rPr>
      <t>(MOQ 150M) @ 3,920원</t>
    </r>
    <phoneticPr fontId="2" type="noConversion"/>
  </si>
  <si>
    <r>
      <t xml:space="preserve">1201442 </t>
    </r>
    <r>
      <rPr>
        <sz val="10"/>
        <color rgb="FFFF0000"/>
        <rFont val="맑은 고딕"/>
        <family val="3"/>
        <charset val="129"/>
        <scheme val="major"/>
      </rPr>
      <t>(MOQ 50EA)</t>
    </r>
    <phoneticPr fontId="2" type="noConversion"/>
  </si>
  <si>
    <r>
      <t xml:space="preserve">SS-1610-6-12  </t>
    </r>
    <r>
      <rPr>
        <sz val="10"/>
        <color rgb="FFFF0000"/>
        <rFont val="맑은 고딕"/>
        <family val="3"/>
        <charset val="129"/>
        <scheme val="major"/>
      </rPr>
      <t xml:space="preserve"> @153,500</t>
    </r>
    <r>
      <rPr>
        <sz val="10"/>
        <rFont val="맑은 고딕"/>
        <family val="3"/>
        <charset val="129"/>
        <scheme val="major"/>
      </rPr>
      <t xml:space="preserve">
SRU 16-12  </t>
    </r>
    <r>
      <rPr>
        <sz val="10"/>
        <color rgb="FFFF0000"/>
        <rFont val="맑은 고딕"/>
        <family val="3"/>
        <charset val="129"/>
        <scheme val="major"/>
      </rPr>
      <t>@23,400</t>
    </r>
    <r>
      <rPr>
        <sz val="10"/>
        <rFont val="맑은 고딕"/>
        <family val="3"/>
        <charset val="129"/>
        <scheme val="major"/>
      </rPr>
      <t xml:space="preserve">
16RU12-316  </t>
    </r>
    <r>
      <rPr>
        <sz val="10"/>
        <color rgb="FFFF0000"/>
        <rFont val="맑은 고딕"/>
        <family val="3"/>
        <charset val="129"/>
        <scheme val="major"/>
      </rPr>
      <t>@185,000 (MOQ 6EA)</t>
    </r>
    <r>
      <rPr>
        <sz val="10"/>
        <rFont val="맑은 고딕"/>
        <family val="3"/>
        <charset val="129"/>
        <scheme val="major"/>
      </rPr>
      <t xml:space="preserve">
CUR 16-12-S316 : </t>
    </r>
    <r>
      <rPr>
        <sz val="10"/>
        <color rgb="FFFF0000"/>
        <rFont val="맑은 고딕"/>
        <family val="3"/>
        <charset val="129"/>
        <scheme val="major"/>
      </rPr>
      <t>\39,490</t>
    </r>
    <phoneticPr fontId="2" type="noConversion"/>
  </si>
  <si>
    <r>
      <t xml:space="preserve">CONNECTOR : 1-480700-0   </t>
    </r>
    <r>
      <rPr>
        <sz val="10"/>
        <color rgb="FFFF0000"/>
        <rFont val="맑은 고딕"/>
        <family val="3"/>
        <charset val="129"/>
        <scheme val="major"/>
      </rPr>
      <t xml:space="preserve"> (MOQ 10EA)</t>
    </r>
    <phoneticPr fontId="2" type="noConversion"/>
  </si>
  <si>
    <r>
      <t xml:space="preserve">1-480702-0 (Approved)  </t>
    </r>
    <r>
      <rPr>
        <sz val="10"/>
        <color rgb="FFFF0000"/>
        <rFont val="맑은 고딕"/>
        <family val="3"/>
        <charset val="129"/>
        <scheme val="major"/>
      </rPr>
      <t xml:space="preserve">  (MOQ 10EA)</t>
    </r>
    <phoneticPr fontId="2" type="noConversion"/>
  </si>
  <si>
    <r>
      <t xml:space="preserve">350689-1    </t>
    </r>
    <r>
      <rPr>
        <sz val="10"/>
        <color rgb="FFFF0000"/>
        <rFont val="맑은 고딕"/>
        <family val="3"/>
        <charset val="129"/>
        <scheme val="major"/>
      </rPr>
      <t xml:space="preserve">  (MOQ 200EA)  @360</t>
    </r>
    <r>
      <rPr>
        <sz val="10"/>
        <rFont val="맑은 고딕"/>
        <family val="3"/>
        <charset val="129"/>
        <scheme val="major"/>
      </rPr>
      <t xml:space="preserve">
350570-1   </t>
    </r>
    <r>
      <rPr>
        <sz val="10"/>
        <color rgb="FFFF0000"/>
        <rFont val="맑은 고딕"/>
        <family val="3"/>
        <charset val="129"/>
        <scheme val="major"/>
      </rPr>
      <t xml:space="preserve">   (MOQ 600EA)  @125</t>
    </r>
    <phoneticPr fontId="2" type="noConversion"/>
  </si>
  <si>
    <r>
      <t xml:space="preserve">1-480705-0 (Approved)  </t>
    </r>
    <r>
      <rPr>
        <sz val="10"/>
        <color rgb="FFFF0000"/>
        <rFont val="맑은 고딕"/>
        <family val="3"/>
        <charset val="129"/>
        <scheme val="major"/>
      </rPr>
      <t xml:space="preserve">  (MOQ 10EA)</t>
    </r>
    <phoneticPr fontId="2" type="noConversion"/>
  </si>
  <si>
    <r>
      <t xml:space="preserve">641763-1 </t>
    </r>
    <r>
      <rPr>
        <sz val="10"/>
        <color rgb="FFFF0000"/>
        <rFont val="맑은 고딕"/>
        <family val="3"/>
        <charset val="129"/>
        <scheme val="major"/>
      </rPr>
      <t xml:space="preserve">  (MOQ 40EA)  @2,100</t>
    </r>
    <r>
      <rPr>
        <sz val="10"/>
        <rFont val="맑은 고딕"/>
        <family val="3"/>
        <charset val="129"/>
        <scheme val="major"/>
      </rPr>
      <t xml:space="preserve">
641945-1 </t>
    </r>
    <r>
      <rPr>
        <sz val="10"/>
        <color rgb="FFFF0000"/>
        <rFont val="맑은 고딕"/>
        <family val="3"/>
        <charset val="129"/>
        <scheme val="major"/>
      </rPr>
      <t xml:space="preserve">  (MOQ 50EA)  @1,500</t>
    </r>
    <phoneticPr fontId="2" type="noConversion"/>
  </si>
  <si>
    <r>
      <t xml:space="preserve">ADPTR STRAIN RLF AMP :  643182-1   </t>
    </r>
    <r>
      <rPr>
        <sz val="10"/>
        <color rgb="FFFF0000"/>
        <rFont val="맑은 고딕"/>
        <family val="3"/>
        <charset val="129"/>
        <scheme val="major"/>
      </rPr>
      <t>(MOQ 70EA)</t>
    </r>
    <phoneticPr fontId="2" type="noConversion"/>
  </si>
  <si>
    <r>
      <t xml:space="preserve">641775-2   </t>
    </r>
    <r>
      <rPr>
        <sz val="10"/>
        <color rgb="FFFF0000"/>
        <rFont val="맑은 고딕"/>
        <family val="3"/>
        <charset val="129"/>
        <scheme val="major"/>
      </rPr>
      <t xml:space="preserve">   (MOQ 20EA)</t>
    </r>
    <phoneticPr fontId="2" type="noConversion"/>
  </si>
  <si>
    <r>
      <t xml:space="preserve">1-66400-0   </t>
    </r>
    <r>
      <rPr>
        <sz val="10"/>
        <color rgb="FFFF0000"/>
        <rFont val="맑은 고딕"/>
        <family val="3"/>
        <charset val="129"/>
        <scheme val="major"/>
      </rPr>
      <t xml:space="preserve"> (MOQ 50EA)  @1,450</t>
    </r>
    <r>
      <rPr>
        <sz val="10"/>
        <rFont val="맑은 고딕"/>
        <family val="3"/>
        <charset val="129"/>
        <scheme val="major"/>
      </rPr>
      <t xml:space="preserve">
66400-1    </t>
    </r>
    <r>
      <rPr>
        <sz val="10"/>
        <color rgb="FFFF0000"/>
        <rFont val="맑은 고딕"/>
        <family val="3"/>
        <charset val="129"/>
        <scheme val="major"/>
      </rPr>
      <t xml:space="preserve">   (MOQ 40EA)  @1,900</t>
    </r>
    <phoneticPr fontId="2" type="noConversion"/>
  </si>
  <si>
    <r>
      <t xml:space="preserve">206966-1   (단종)
206966-7 </t>
    </r>
    <r>
      <rPr>
        <sz val="10"/>
        <color rgb="FFFF0000"/>
        <rFont val="맑은 고딕"/>
        <family val="3"/>
        <charset val="129"/>
        <scheme val="major"/>
      </rPr>
      <t xml:space="preserve">  (MOQ 10EA)  @9,100</t>
    </r>
    <phoneticPr fontId="2" type="noConversion"/>
  </si>
  <si>
    <r>
      <t xml:space="preserve">AWG BRASS, PRE-TINNED AMP 770672-1    </t>
    </r>
    <r>
      <rPr>
        <sz val="10"/>
        <color rgb="FFFF0000"/>
        <rFont val="맑은 고딕"/>
        <family val="3"/>
        <charset val="129"/>
        <scheme val="major"/>
      </rPr>
      <t>(MOQ 200EA)</t>
    </r>
    <phoneticPr fontId="2" type="noConversion"/>
  </si>
  <si>
    <r>
      <t xml:space="preserve">66099-4   </t>
    </r>
    <r>
      <rPr>
        <sz val="10"/>
        <color rgb="FFFF0000"/>
        <rFont val="맑은 고딕"/>
        <family val="3"/>
        <charset val="129"/>
        <scheme val="major"/>
      </rPr>
      <t xml:space="preserve"> (MOQ 40EA)</t>
    </r>
    <phoneticPr fontId="2" type="noConversion"/>
  </si>
  <si>
    <r>
      <t xml:space="preserve">206705-1 </t>
    </r>
    <r>
      <rPr>
        <sz val="10"/>
        <color rgb="FFFF0000"/>
        <rFont val="맑은 고딕"/>
        <family val="3"/>
        <charset val="129"/>
        <scheme val="major"/>
      </rPr>
      <t xml:space="preserve">  (MOQ 10EA)</t>
    </r>
    <phoneticPr fontId="2" type="noConversion"/>
  </si>
  <si>
    <r>
      <t xml:space="preserve">206512-5  </t>
    </r>
    <r>
      <rPr>
        <sz val="10"/>
        <color rgb="FFFF0000"/>
        <rFont val="맑은 고딕"/>
        <family val="3"/>
        <charset val="129"/>
        <scheme val="major"/>
      </rPr>
      <t xml:space="preserve">  (MOQ 4EA)</t>
    </r>
    <phoneticPr fontId="2" type="noConversion"/>
  </si>
  <si>
    <r>
      <t xml:space="preserve">206151-1   </t>
    </r>
    <r>
      <rPr>
        <sz val="10"/>
        <color rgb="FFFF0000"/>
        <rFont val="맑은 고딕"/>
        <family val="3"/>
        <charset val="129"/>
        <scheme val="major"/>
      </rPr>
      <t xml:space="preserve"> (MOQ 7EA)</t>
    </r>
    <phoneticPr fontId="2" type="noConversion"/>
  </si>
  <si>
    <r>
      <t>3203053</t>
    </r>
    <r>
      <rPr>
        <sz val="10"/>
        <color rgb="FFFF0000"/>
        <rFont val="맑은 고딕"/>
        <family val="3"/>
        <charset val="129"/>
        <scheme val="major"/>
      </rPr>
      <t xml:space="preserve"> (MOQ 100EA)</t>
    </r>
    <phoneticPr fontId="2" type="noConversion"/>
  </si>
  <si>
    <r>
      <t>216-301</t>
    </r>
    <r>
      <rPr>
        <sz val="10"/>
        <color rgb="FFFF0000"/>
        <rFont val="맑은 고딕"/>
        <family val="3"/>
        <charset val="129"/>
        <scheme val="major"/>
      </rPr>
      <t xml:space="preserve"> (MOQ 100EA)</t>
    </r>
    <phoneticPr fontId="2" type="noConversion"/>
  </si>
  <si>
    <r>
      <t>FERRULE LUG 18AWG RED INSUL SLEEVE LENGTH 8MM (216-203</t>
    </r>
    <r>
      <rPr>
        <sz val="10"/>
        <color rgb="FFFF0000"/>
        <rFont val="맑은 고딕"/>
        <family val="3"/>
        <charset val="129"/>
        <scheme val="major"/>
      </rPr>
      <t>) (MOQ 100EA)</t>
    </r>
    <phoneticPr fontId="2" type="noConversion"/>
  </si>
  <si>
    <r>
      <t xml:space="preserve">SHRINK TUBING(Fit #221 BLK. 1/4" 4FT Lengths) </t>
    </r>
    <r>
      <rPr>
        <sz val="10"/>
        <color rgb="FFFF0000"/>
        <rFont val="맑은 고딕"/>
        <family val="3"/>
        <charset val="129"/>
        <scheme val="major"/>
      </rPr>
      <t xml:space="preserve"> (MOQ 12M) @ 7,300원</t>
    </r>
    <r>
      <rPr>
        <sz val="10"/>
        <rFont val="맑은 고딕"/>
        <family val="3"/>
        <charset val="129"/>
        <scheme val="major"/>
      </rPr>
      <t xml:space="preserve">
SHRINK TUBING(CFR 125 1/4" BLK. 4FT Lengths)</t>
    </r>
    <phoneticPr fontId="2" type="noConversion"/>
  </si>
  <si>
    <r>
      <t xml:space="preserve">44P-YL </t>
    </r>
    <r>
      <rPr>
        <sz val="10"/>
        <color rgb="FFFF0000"/>
        <rFont val="맑은 고딕"/>
        <family val="3"/>
        <charset val="129"/>
        <scheme val="major"/>
      </rPr>
      <t>(MOQ 500FT) (4,079원) 업체:체이스
2510627</t>
    </r>
    <r>
      <rPr>
        <sz val="10"/>
        <rFont val="맑은 고딕"/>
        <family val="3"/>
        <charset val="129"/>
        <scheme val="major"/>
      </rPr>
      <t xml:space="preserve">
E-43-Y-0500 </t>
    </r>
    <r>
      <rPr>
        <sz val="10"/>
        <color rgb="FFFF0000"/>
        <rFont val="맑은 고딕"/>
        <family val="3"/>
        <charset val="129"/>
        <scheme val="major"/>
      </rPr>
      <t>@265 (MOQ 500FT)</t>
    </r>
    <phoneticPr fontId="2" type="noConversion"/>
  </si>
  <si>
    <r>
      <t xml:space="preserve">66P-B </t>
    </r>
    <r>
      <rPr>
        <sz val="10"/>
        <color rgb="FFFF0000"/>
        <rFont val="맑은 고딕"/>
        <family val="3"/>
        <charset val="129"/>
        <scheme val="major"/>
      </rPr>
      <t>(MOQ 500feet) (4,677원) 업체:체이스</t>
    </r>
    <r>
      <rPr>
        <sz val="10"/>
        <rFont val="맑은 고딕"/>
        <family val="3"/>
        <charset val="129"/>
        <scheme val="major"/>
      </rPr>
      <t xml:space="preserve">
2340849 </t>
    </r>
    <r>
      <rPr>
        <sz val="10"/>
        <color rgb="FFFF0000"/>
        <rFont val="맑은 고딕"/>
        <family val="3"/>
        <charset val="129"/>
        <scheme val="major"/>
      </rPr>
      <t>(대체품) (MOQ 100 feet) (2,100원)</t>
    </r>
    <phoneticPr fontId="2" type="noConversion"/>
  </si>
  <si>
    <r>
      <t>66P-BK</t>
    </r>
    <r>
      <rPr>
        <sz val="10"/>
        <color rgb="FFFF0000"/>
        <rFont val="맑은 고딕"/>
        <family val="3"/>
        <charset val="129"/>
        <scheme val="major"/>
      </rPr>
      <t xml:space="preserve"> (MOQ 500FT)</t>
    </r>
    <phoneticPr fontId="2" type="noConversion"/>
  </si>
  <si>
    <r>
      <t xml:space="preserve">NN-8-062 </t>
    </r>
    <r>
      <rPr>
        <sz val="10"/>
        <color rgb="FFFF0000"/>
        <rFont val="맑은 고딕"/>
        <family val="3"/>
        <charset val="129"/>
        <scheme val="major"/>
      </rPr>
      <t>@1,585 (MOQ 250FT)</t>
    </r>
    <phoneticPr fontId="2" type="noConversion"/>
  </si>
  <si>
    <r>
      <t>66P ORN</t>
    </r>
    <r>
      <rPr>
        <sz val="10"/>
        <color rgb="FFFF0000"/>
        <rFont val="맑은 고딕"/>
        <family val="3"/>
        <charset val="129"/>
        <scheme val="major"/>
      </rPr>
      <t xml:space="preserve"> (MOQ 500 feet)</t>
    </r>
    <phoneticPr fontId="2" type="noConversion"/>
  </si>
  <si>
    <r>
      <t xml:space="preserve">C2514A.18.10
8761         </t>
    </r>
    <r>
      <rPr>
        <sz val="10"/>
        <color rgb="FFFF0000"/>
        <rFont val="맑은 고딕"/>
        <family val="3"/>
        <charset val="129"/>
        <scheme val="major"/>
      </rPr>
      <t>@ 1,670    MOQ 30MT</t>
    </r>
    <phoneticPr fontId="2" type="noConversion"/>
  </si>
  <si>
    <r>
      <t xml:space="preserve">2222/19-7
83025 007100  </t>
    </r>
    <r>
      <rPr>
        <sz val="10"/>
        <color rgb="FFFF0000"/>
        <rFont val="맑은 고딕"/>
        <family val="3"/>
        <charset val="129"/>
        <scheme val="major"/>
      </rPr>
      <t>@ 7,430    MOQ 300MT</t>
    </r>
    <r>
      <rPr>
        <sz val="10"/>
        <rFont val="맑은 고딕"/>
        <family val="3"/>
        <charset val="129"/>
        <scheme val="major"/>
      </rPr>
      <t xml:space="preserve">
5875-VIOLET</t>
    </r>
    <phoneticPr fontId="2" type="noConversion"/>
  </si>
  <si>
    <r>
      <t xml:space="preserve">2222/19-1
83025 001100  </t>
    </r>
    <r>
      <rPr>
        <sz val="10"/>
        <color rgb="FFFF0000"/>
        <rFont val="맑은 고딕"/>
        <family val="3"/>
        <charset val="129"/>
        <scheme val="major"/>
      </rPr>
      <t xml:space="preserve"> @7.310   MOQ 30MT</t>
    </r>
    <r>
      <rPr>
        <sz val="10"/>
        <rFont val="맑은 고딕"/>
        <family val="3"/>
        <charset val="129"/>
        <scheme val="major"/>
      </rPr>
      <t xml:space="preserve">
5875-BROWN</t>
    </r>
    <phoneticPr fontId="2" type="noConversion"/>
  </si>
  <si>
    <r>
      <t xml:space="preserve">C1352A.18.10
8723 </t>
    </r>
    <r>
      <rPr>
        <sz val="10"/>
        <color rgb="FFFF0000"/>
        <rFont val="맑은 고딕"/>
        <family val="3"/>
        <charset val="129"/>
        <scheme val="major"/>
      </rPr>
      <t xml:space="preserve">    @1,780   MOQ 30MT</t>
    </r>
    <phoneticPr fontId="2" type="noConversion"/>
  </si>
  <si>
    <r>
      <t xml:space="preserve">2218/19-7
83029 007100    </t>
    </r>
    <r>
      <rPr>
        <sz val="10"/>
        <color rgb="FFFF0000"/>
        <rFont val="맑은 고딕"/>
        <family val="3"/>
        <charset val="129"/>
        <scheme val="major"/>
      </rPr>
      <t>@12,340   MOQ 30MT</t>
    </r>
    <r>
      <rPr>
        <sz val="10"/>
        <rFont val="맑은 고딕"/>
        <family val="3"/>
        <charset val="129"/>
        <scheme val="major"/>
      </rPr>
      <t xml:space="preserve">
5877-Violet</t>
    </r>
    <phoneticPr fontId="2" type="noConversion"/>
  </si>
  <si>
    <r>
      <t xml:space="preserve">2218/19-1
83029 001100  </t>
    </r>
    <r>
      <rPr>
        <sz val="10"/>
        <color rgb="FFFF0000"/>
        <rFont val="맑은 고딕"/>
        <family val="3"/>
        <charset val="129"/>
        <scheme val="major"/>
      </rPr>
      <t>@12,340   MOQ 30MT</t>
    </r>
    <r>
      <rPr>
        <sz val="10"/>
        <rFont val="맑은 고딕"/>
        <family val="3"/>
        <charset val="129"/>
        <scheme val="major"/>
      </rPr>
      <t xml:space="preserve">
5877-BROWN</t>
    </r>
    <phoneticPr fontId="2" type="noConversion"/>
  </si>
  <si>
    <r>
      <t xml:space="preserve">1213C (MOQ 30M) </t>
    </r>
    <r>
      <rPr>
        <sz val="10"/>
        <color rgb="FFFF0000"/>
        <rFont val="맑은 고딕"/>
        <family val="3"/>
        <charset val="129"/>
        <scheme val="major"/>
      </rPr>
      <t>@ 10,800원</t>
    </r>
    <r>
      <rPr>
        <sz val="10"/>
        <rFont val="맑은 고딕"/>
        <family val="3"/>
        <charset val="129"/>
        <scheme val="major"/>
      </rPr>
      <t xml:space="preserve">
Fit #221 BLK. 1/4" 4FT Lengths </t>
    </r>
    <r>
      <rPr>
        <sz val="10"/>
        <color rgb="FFFF0000"/>
        <rFont val="맑은 고딕"/>
        <family val="3"/>
        <charset val="129"/>
        <scheme val="major"/>
      </rPr>
      <t>(MOQ 12M) @ 7,300원</t>
    </r>
    <r>
      <rPr>
        <sz val="10"/>
        <rFont val="맑은 고딕"/>
        <family val="3"/>
        <charset val="129"/>
        <scheme val="major"/>
      </rPr>
      <t xml:space="preserve">
RSCW 5/7 </t>
    </r>
    <r>
      <rPr>
        <sz val="10"/>
        <color rgb="FFFF0000"/>
        <rFont val="맑은 고딕"/>
        <family val="3"/>
        <charset val="129"/>
        <scheme val="major"/>
      </rPr>
      <t>@ 23,610원</t>
    </r>
    <r>
      <rPr>
        <sz val="10"/>
        <rFont val="맑은 고딕"/>
        <family val="3"/>
        <charset val="129"/>
        <scheme val="major"/>
      </rPr>
      <t xml:space="preserve">
NECU-S-ECG4-HX-Q3 </t>
    </r>
    <r>
      <rPr>
        <sz val="10"/>
        <color rgb="FFFF0000"/>
        <rFont val="맑은 고딕"/>
        <family val="3"/>
        <charset val="129"/>
        <scheme val="major"/>
      </rPr>
      <t>@ 1,0160원</t>
    </r>
    <r>
      <rPr>
        <sz val="10"/>
        <rFont val="맑은 고딕"/>
        <family val="3"/>
        <charset val="129"/>
        <scheme val="major"/>
      </rPr>
      <t xml:space="preserve">
B 8141-0 </t>
    </r>
    <r>
      <rPr>
        <sz val="10"/>
        <color rgb="FFFF0000"/>
        <rFont val="맑은 고딕"/>
        <family val="3"/>
        <charset val="129"/>
        <scheme val="major"/>
      </rPr>
      <t>@ 29,500원</t>
    </r>
    <r>
      <rPr>
        <sz val="10"/>
        <rFont val="맑은 고딕"/>
        <family val="3"/>
        <charset val="129"/>
        <scheme val="major"/>
      </rPr>
      <t xml:space="preserve">
NEBS-L1G4-K-2.5-LE4 </t>
    </r>
    <r>
      <rPr>
        <sz val="10"/>
        <color rgb="FFFF0000"/>
        <rFont val="맑은 고딕"/>
        <family val="3"/>
        <charset val="129"/>
        <scheme val="major"/>
      </rPr>
      <t>@ 15,220원</t>
    </r>
    <r>
      <rPr>
        <sz val="10"/>
        <rFont val="맑은 고딕"/>
        <family val="3"/>
        <charset val="129"/>
        <scheme val="major"/>
      </rPr>
      <t xml:space="preserve">
PLT2S-M0</t>
    </r>
    <phoneticPr fontId="2" type="noConversion"/>
  </si>
  <si>
    <r>
      <t xml:space="preserve">8761
8723
83025 007100 or 83025 0071000
83025 001100 or 83025 0011000
83029 007100 or 83029 0071000
83029 001100 or 83029 0011000
Fit #221 BLK. 1/4" 4FT Lengths </t>
    </r>
    <r>
      <rPr>
        <sz val="10"/>
        <color rgb="FFFF0000"/>
        <rFont val="맑은 고딕"/>
        <family val="3"/>
        <charset val="129"/>
        <scheme val="major"/>
      </rPr>
      <t>(MOQ 12M) @ 7,300원</t>
    </r>
    <r>
      <rPr>
        <sz val="10"/>
        <rFont val="맑은 고딕"/>
        <family val="3"/>
        <charset val="129"/>
        <scheme val="major"/>
      </rPr>
      <t xml:space="preserve">
Fit #221 BLK. 1/4" 4FT Lengths </t>
    </r>
    <r>
      <rPr>
        <sz val="10"/>
        <color rgb="FFFF0000"/>
        <rFont val="맑은 고딕"/>
        <family val="3"/>
        <charset val="129"/>
        <scheme val="major"/>
      </rPr>
      <t>(MOQ 12M) @ 7,300원</t>
    </r>
    <r>
      <rPr>
        <sz val="10"/>
        <rFont val="맑은 고딕"/>
        <family val="3"/>
        <charset val="129"/>
        <scheme val="major"/>
      </rPr>
      <t xml:space="preserve">
FIT-221-1/2
FIT-221-1
FIT-221-3/16
FIT-221-3/8
8047676
90190A146
206838-1
1-480700-0
1-640721-0
643182-1
641775-2
206966-1
206705-1
206512-5
206151-1
164258
PTU-MC-5
770672-1
350690-1
66099-4
350689-1
1-66400-0</t>
    </r>
    <phoneticPr fontId="2" type="noConversion"/>
  </si>
  <si>
    <r>
      <t xml:space="preserve">1 33482-12-12C (TUBE ADAPTER PARKER) </t>
    </r>
    <r>
      <rPr>
        <sz val="10"/>
        <color rgb="FFFF0000"/>
        <rFont val="맑은 고딕"/>
        <family val="3"/>
        <charset val="129"/>
        <scheme val="major"/>
      </rPr>
      <t>@42,500</t>
    </r>
    <r>
      <rPr>
        <sz val="10"/>
        <rFont val="맑은 고딕"/>
        <family val="3"/>
        <charset val="129"/>
        <scheme val="major"/>
      </rPr>
      <t xml:space="preserve">
2 801-12-RED (HOSE PARKER 3/4") </t>
    </r>
    <r>
      <rPr>
        <sz val="10"/>
        <color rgb="FFFF0000"/>
        <rFont val="맑은 고딕"/>
        <family val="3"/>
        <charset val="129"/>
        <scheme val="major"/>
      </rPr>
      <t>@8,000 (MOQ 10FT)</t>
    </r>
    <r>
      <rPr>
        <sz val="10"/>
        <rFont val="맑은 고딕"/>
        <family val="3"/>
        <charset val="129"/>
        <scheme val="major"/>
      </rPr>
      <t xml:space="preserve">
3 ATA-06 (91420) </t>
    </r>
    <r>
      <rPr>
        <sz val="10"/>
        <color rgb="FFFF0000"/>
        <rFont val="맑은 고딕"/>
        <family val="3"/>
        <charset val="129"/>
        <scheme val="major"/>
      </rPr>
      <t>@90,000</t>
    </r>
    <phoneticPr fontId="2" type="noConversion"/>
  </si>
  <si>
    <r>
      <t xml:space="preserve">87631 </t>
    </r>
    <r>
      <rPr>
        <sz val="10"/>
        <color rgb="FFFF0000"/>
        <rFont val="맑은 고딕"/>
        <family val="3"/>
        <charset val="129"/>
        <scheme val="major"/>
      </rPr>
      <t>(MOQ 25EA)</t>
    </r>
    <phoneticPr fontId="2" type="noConversion"/>
  </si>
  <si>
    <r>
      <t xml:space="preserve">800612-113-1 (도면참조)
→ 
120005614 : PHOENIX 0801733 대체함 (박수홍)
</t>
    </r>
    <r>
      <rPr>
        <sz val="10"/>
        <color rgb="FFFF0000"/>
        <rFont val="맑은 고딕"/>
        <family val="3"/>
        <charset val="129"/>
        <scheme val="major"/>
      </rPr>
      <t>MOQ : 25EA</t>
    </r>
    <phoneticPr fontId="2" type="noConversion"/>
  </si>
  <si>
    <r>
      <t>FERRULE LUG 26AWG GRAY INSUL SLEEVE LENGTH 8MM (도면코드 WSD-000402) / F4005</t>
    </r>
    <r>
      <rPr>
        <sz val="10"/>
        <color rgb="FFFF0000"/>
        <rFont val="맑은 고딕"/>
        <family val="3"/>
        <charset val="129"/>
        <scheme val="major"/>
      </rPr>
      <t xml:space="preserve"> (MOQ 500EA)</t>
    </r>
    <phoneticPr fontId="2" type="noConversion"/>
  </si>
  <si>
    <r>
      <t xml:space="preserve">1213C(24AWG 3C SHLD 300V) </t>
    </r>
    <r>
      <rPr>
        <sz val="10"/>
        <color rgb="FFFF0000"/>
        <rFont val="맑은 고딕"/>
        <family val="3"/>
        <charset val="129"/>
        <scheme val="major"/>
      </rPr>
      <t>(MOQ 30M)</t>
    </r>
    <phoneticPr fontId="2" type="noConversion"/>
  </si>
  <si>
    <r>
      <t xml:space="preserve">44-P BLUE, E43-B-0500 </t>
    </r>
    <r>
      <rPr>
        <sz val="10"/>
        <color rgb="FFFF0000"/>
        <rFont val="맑은 고딕"/>
        <family val="3"/>
        <charset val="129"/>
        <scheme val="major"/>
      </rPr>
      <t>@265 (MOQ 500FT)</t>
    </r>
    <phoneticPr fontId="2" type="noConversion"/>
  </si>
  <si>
    <r>
      <t>E64-G-0500</t>
    </r>
    <r>
      <rPr>
        <sz val="10"/>
        <color rgb="FFFF0000"/>
        <rFont val="맑은 고딕"/>
        <family val="3"/>
        <charset val="129"/>
        <scheme val="major"/>
      </rPr>
      <t xml:space="preserve"> @515 (MOQ 500FT)</t>
    </r>
    <phoneticPr fontId="2" type="noConversion"/>
  </si>
  <si>
    <r>
      <t xml:space="preserve">1 1 6LV-DFFR8-P-GR 1/2 DF SERIES VALVE, 1/2 FVCR ENDS GREEN HANDLE  </t>
    </r>
    <r>
      <rPr>
        <sz val="10"/>
        <color indexed="10"/>
        <rFont val="맑은 고딕"/>
        <family val="3"/>
        <charset val="129"/>
        <scheme val="major"/>
      </rPr>
      <t xml:space="preserve"> </t>
    </r>
    <r>
      <rPr>
        <b/>
        <sz val="10"/>
        <color indexed="10"/>
        <rFont val="맑은 고딕"/>
        <family val="3"/>
        <charset val="129"/>
        <scheme val="major"/>
      </rPr>
      <t>: 876,400</t>
    </r>
    <r>
      <rPr>
        <sz val="10"/>
        <rFont val="맑은 고딕"/>
        <family val="3"/>
        <charset val="129"/>
        <scheme val="major"/>
      </rPr>
      <t xml:space="preserve">
2 1 eaKHF1FRL818A60000BK SS KHF REGUALTOR 0-100PSI RANGE 3600 MAX PSI 1/2FNPT PORTS, PANEL MOUNT PCTFE SEATS. </t>
    </r>
    <r>
      <rPr>
        <b/>
        <sz val="10"/>
        <color indexed="10"/>
        <rFont val="맑은 고딕"/>
        <family val="3"/>
        <charset val="129"/>
        <scheme val="major"/>
      </rPr>
      <t>: 1,605,000</t>
    </r>
    <r>
      <rPr>
        <sz val="10"/>
        <rFont val="맑은 고딕"/>
        <family val="3"/>
        <charset val="129"/>
        <scheme val="major"/>
      </rPr>
      <t xml:space="preserve">
3 1 MS-VL-S-3 VALVE LOCK OUT ACCESSORY </t>
    </r>
    <r>
      <rPr>
        <b/>
        <sz val="10"/>
        <color indexed="10"/>
        <rFont val="맑은 고딕"/>
        <family val="3"/>
        <charset val="129"/>
        <scheme val="major"/>
      </rPr>
      <t>: 25,400</t>
    </r>
    <r>
      <rPr>
        <sz val="10"/>
        <rFont val="맑은 고딕"/>
        <family val="3"/>
        <charset val="129"/>
        <scheme val="major"/>
      </rPr>
      <t xml:space="preserve">
4 2 SS-4-HP 1/4" MNPT PLUG </t>
    </r>
    <r>
      <rPr>
        <b/>
        <sz val="10"/>
        <color indexed="10"/>
        <rFont val="맑은 고딕"/>
        <family val="3"/>
        <charset val="129"/>
        <scheme val="major"/>
      </rPr>
      <t>: 17,200*2 = 34,400</t>
    </r>
    <r>
      <rPr>
        <sz val="10"/>
        <rFont val="맑은 고딕"/>
        <family val="3"/>
        <charset val="129"/>
        <scheme val="major"/>
      </rPr>
      <t xml:space="preserve">
5 1 SS-8-VCR-1-8 SS MALE NPT CONNECTOR, 1/2 MVCR BY 1/2 MNPT  </t>
    </r>
    <r>
      <rPr>
        <b/>
        <sz val="10"/>
        <color indexed="10"/>
        <rFont val="맑은 고딕"/>
        <family val="3"/>
        <charset val="129"/>
        <scheme val="major"/>
      </rPr>
      <t>: 38,100</t>
    </r>
    <r>
      <rPr>
        <sz val="10"/>
        <rFont val="맑은 고딕"/>
        <family val="3"/>
        <charset val="129"/>
        <scheme val="major"/>
      </rPr>
      <t xml:space="preserve">
6 1 SS-8-VCR-2-GR-VS SS VCR GASKET RETAINER ASSEMBLY 1/2" VCR   </t>
    </r>
    <r>
      <rPr>
        <b/>
        <sz val="10"/>
        <color indexed="10"/>
        <rFont val="맑은 고딕"/>
        <family val="3"/>
        <charset val="129"/>
        <scheme val="major"/>
      </rPr>
      <t>: 11,500</t>
    </r>
    <r>
      <rPr>
        <sz val="10"/>
        <rFont val="맑은 고딕"/>
        <family val="3"/>
        <charset val="129"/>
        <scheme val="major"/>
      </rPr>
      <t xml:space="preserve">
7 1 SS-8-WVCR-1-8 SS MALE NPT CONNECTOR, 1/2" F SWIVEL VCR BY 1/2 MNPT  </t>
    </r>
    <r>
      <rPr>
        <b/>
        <sz val="10"/>
        <color indexed="10"/>
        <rFont val="맑은 고딕"/>
        <family val="3"/>
        <charset val="129"/>
        <scheme val="major"/>
      </rPr>
      <t>:  151,600</t>
    </r>
    <r>
      <rPr>
        <sz val="10"/>
        <rFont val="맑은 고딕"/>
        <family val="3"/>
        <charset val="129"/>
        <scheme val="major"/>
      </rPr>
      <t xml:space="preserve">
8 1 SS-8-VCR-FLC 1/2" VCR LOCK AND TAG ACCESSORY </t>
    </r>
    <r>
      <rPr>
        <b/>
        <sz val="10"/>
        <color indexed="10"/>
        <rFont val="맑은 고딕"/>
        <family val="3"/>
        <charset val="129"/>
        <scheme val="major"/>
      </rPr>
      <t xml:space="preserve"> : 51,700</t>
    </r>
    <phoneticPr fontId="13" type="noConversion"/>
  </si>
  <si>
    <r>
      <t xml:space="preserve">5 SS-8-VCR-4   : </t>
    </r>
    <r>
      <rPr>
        <sz val="10"/>
        <color indexed="10"/>
        <rFont val="맑은 고딕"/>
        <family val="3"/>
        <charset val="129"/>
        <scheme val="major"/>
      </rPr>
      <t>21,100</t>
    </r>
    <r>
      <rPr>
        <sz val="10"/>
        <rFont val="맑은 고딕"/>
        <family val="3"/>
        <charset val="129"/>
        <scheme val="major"/>
      </rPr>
      <t xml:space="preserve">
4 6LV-8-VCR-3-6TB7  : </t>
    </r>
    <r>
      <rPr>
        <sz val="10"/>
        <color rgb="FFFF0000"/>
        <rFont val="맑은 고딕"/>
        <family val="3"/>
        <charset val="129"/>
        <scheme val="major"/>
      </rPr>
      <t>36,400</t>
    </r>
    <r>
      <rPr>
        <sz val="10"/>
        <rFont val="맑은 고딕"/>
        <family val="3"/>
        <charset val="129"/>
        <scheme val="major"/>
      </rPr>
      <t xml:space="preserve">
3 6LV-6MW-9  : </t>
    </r>
    <r>
      <rPr>
        <sz val="10"/>
        <color rgb="FFFF0000"/>
        <rFont val="맑은 고딕"/>
        <family val="3"/>
        <charset val="129"/>
        <scheme val="major"/>
      </rPr>
      <t>60,400</t>
    </r>
    <r>
      <rPr>
        <sz val="10"/>
        <rFont val="맑은 고딕"/>
        <family val="3"/>
        <charset val="129"/>
        <scheme val="major"/>
      </rPr>
      <t xml:space="preserve">
2 TUBING SS 9.52 (3/8") OD 81 (3.18") LG</t>
    </r>
    <r>
      <rPr>
        <sz val="10"/>
        <color indexed="10"/>
        <rFont val="맑은 고딕"/>
        <family val="3"/>
        <charset val="129"/>
        <scheme val="major"/>
      </rPr>
      <t xml:space="preserve"> </t>
    </r>
    <r>
      <rPr>
        <sz val="10"/>
        <color indexed="40"/>
        <rFont val="맑은 고딕"/>
        <family val="3"/>
        <charset val="129"/>
        <scheme val="major"/>
      </rPr>
      <t>: SPEC X</t>
    </r>
    <r>
      <rPr>
        <sz val="10"/>
        <rFont val="맑은 고딕"/>
        <family val="3"/>
        <charset val="129"/>
        <scheme val="major"/>
      </rPr>
      <t xml:space="preserve">
1 TUBING SS 9.5 (3/8") OD x 20 (.78") LG </t>
    </r>
    <r>
      <rPr>
        <sz val="10"/>
        <color indexed="40"/>
        <rFont val="맑은 고딕"/>
        <family val="3"/>
        <charset val="129"/>
        <scheme val="major"/>
      </rPr>
      <t xml:space="preserve"> : SPEC X</t>
    </r>
    <phoneticPr fontId="2" type="noConversion"/>
  </si>
  <si>
    <r>
      <t xml:space="preserve">4 SS-8-VCR-4  : </t>
    </r>
    <r>
      <rPr>
        <sz val="10"/>
        <color indexed="10"/>
        <rFont val="맑은 고딕"/>
        <family val="3"/>
        <charset val="129"/>
        <scheme val="major"/>
      </rPr>
      <t>21,100</t>
    </r>
    <r>
      <rPr>
        <sz val="10"/>
        <rFont val="맑은 고딕"/>
        <family val="3"/>
        <charset val="129"/>
        <scheme val="major"/>
      </rPr>
      <t xml:space="preserve">
3 SS-4-HVCR-1SR :</t>
    </r>
    <r>
      <rPr>
        <sz val="10"/>
        <color rgb="FFFF0000"/>
        <rFont val="맑은 고딕"/>
        <family val="3"/>
        <charset val="129"/>
        <scheme val="major"/>
      </rPr>
      <t xml:space="preserve"> 15,300</t>
    </r>
    <r>
      <rPr>
        <sz val="10"/>
        <rFont val="맑은 고딕"/>
        <family val="3"/>
        <charset val="129"/>
        <scheme val="major"/>
      </rPr>
      <t xml:space="preserve">
2 6LV-8-VCR-3-6TB2 : </t>
    </r>
    <r>
      <rPr>
        <sz val="10"/>
        <color rgb="FFFF0000"/>
        <rFont val="맑은 고딕"/>
        <family val="3"/>
        <charset val="129"/>
        <scheme val="major"/>
      </rPr>
      <t>36,700</t>
    </r>
    <r>
      <rPr>
        <sz val="10"/>
        <rFont val="맑은 고딕"/>
        <family val="3"/>
        <charset val="129"/>
        <scheme val="major"/>
      </rPr>
      <t xml:space="preserve">
1 6LV-4-HVCR-3-131SR  : </t>
    </r>
    <r>
      <rPr>
        <sz val="10"/>
        <color rgb="FFFF0000"/>
        <rFont val="맑은 고딕"/>
        <family val="3"/>
        <charset val="129"/>
        <scheme val="major"/>
      </rPr>
      <t>34,700</t>
    </r>
    <phoneticPr fontId="2" type="noConversion"/>
  </si>
  <si>
    <r>
      <t xml:space="preserve">4 SS-4-HVCR-1SR : </t>
    </r>
    <r>
      <rPr>
        <sz val="10"/>
        <color rgb="FFFF0000"/>
        <rFont val="맑은 고딕"/>
        <family val="3"/>
        <charset val="129"/>
        <scheme val="major"/>
      </rPr>
      <t>15,300</t>
    </r>
    <r>
      <rPr>
        <sz val="10"/>
        <rFont val="맑은 고딕"/>
        <family val="3"/>
        <charset val="129"/>
        <scheme val="major"/>
      </rPr>
      <t xml:space="preserve">
3 6LV-6MW-9  : </t>
    </r>
    <r>
      <rPr>
        <sz val="10"/>
        <color rgb="FFFF0000"/>
        <rFont val="맑은 고딕"/>
        <family val="3"/>
        <charset val="129"/>
        <scheme val="major"/>
      </rPr>
      <t>60,400</t>
    </r>
    <r>
      <rPr>
        <sz val="10"/>
        <rFont val="맑은 고딕"/>
        <family val="3"/>
        <charset val="129"/>
        <scheme val="major"/>
      </rPr>
      <t xml:space="preserve">
2 6LV-4-HVCR-3-60SR  : </t>
    </r>
    <r>
      <rPr>
        <sz val="10"/>
        <color rgb="FFFF0000"/>
        <rFont val="맑은 고딕"/>
        <family val="3"/>
        <charset val="129"/>
        <scheme val="major"/>
      </rPr>
      <t>35,000</t>
    </r>
    <r>
      <rPr>
        <sz val="10"/>
        <rFont val="맑은 고딕"/>
        <family val="3"/>
        <charset val="129"/>
        <scheme val="major"/>
      </rPr>
      <t xml:space="preserve">
1 TUBING SS9.52 (3/8") OD 69 (2.7") LG </t>
    </r>
    <r>
      <rPr>
        <sz val="10"/>
        <color indexed="10"/>
        <rFont val="맑은 고딕"/>
        <family val="3"/>
        <charset val="129"/>
        <scheme val="major"/>
      </rPr>
      <t xml:space="preserve">: </t>
    </r>
    <r>
      <rPr>
        <sz val="10"/>
        <color indexed="40"/>
        <rFont val="맑은 고딕"/>
        <family val="3"/>
        <charset val="129"/>
        <scheme val="major"/>
      </rPr>
      <t>SPEC X</t>
    </r>
    <phoneticPr fontId="2" type="noConversion"/>
  </si>
  <si>
    <t>52881433 - WU-25 WIKA MAKER (1,250,000)
14095901
PTU-F-NC100-31AG → 3개SPEC모두 사용가능</t>
    <phoneticPr fontId="2" type="noConversion"/>
  </si>
  <si>
    <r>
      <t xml:space="preserve">5 4322K161   </t>
    </r>
    <r>
      <rPr>
        <sz val="10"/>
        <color rgb="FFFF0000"/>
        <rFont val="맑은 고딕"/>
        <family val="3"/>
        <charset val="129"/>
        <scheme val="major"/>
      </rPr>
      <t xml:space="preserve"> @17,200원</t>
    </r>
    <r>
      <rPr>
        <sz val="10"/>
        <rFont val="맑은 고딕"/>
        <family val="3"/>
        <charset val="129"/>
        <scheme val="major"/>
      </rPr>
      <t xml:space="preserve">
4 151522MP
3 J31-4-10-15
2 J2SX-4-10
1 T69-4-1-10-D</t>
    </r>
    <phoneticPr fontId="2" type="noConversion"/>
  </si>
  <si>
    <r>
      <t xml:space="preserve">3 4322K161   </t>
    </r>
    <r>
      <rPr>
        <sz val="10"/>
        <color rgb="FFFF0000"/>
        <rFont val="맑은 고딕"/>
        <family val="3"/>
        <charset val="129"/>
        <scheme val="major"/>
      </rPr>
      <t>@17,200원</t>
    </r>
    <r>
      <rPr>
        <sz val="10"/>
        <rFont val="맑은 고딕"/>
        <family val="3"/>
        <charset val="129"/>
        <scheme val="major"/>
      </rPr>
      <t xml:space="preserve">
2 J2SX-4-10
1 T69-4-1-10-D</t>
    </r>
    <phoneticPr fontId="2" type="noConversion"/>
  </si>
  <si>
    <r>
      <t xml:space="preserve">13MHP-1-304
4322K711    </t>
    </r>
    <r>
      <rPr>
        <sz val="10"/>
        <color rgb="FFFF0000"/>
        <rFont val="맑은 고딕"/>
        <family val="3"/>
        <charset val="129"/>
        <scheme val="major"/>
      </rPr>
      <t xml:space="preserve"> @75,000원</t>
    </r>
    <phoneticPr fontId="2" type="noConversion"/>
  </si>
  <si>
    <t>TC-J-NPT-G-72 @ 98,330원
C383F1
XBAF1
대체품 : UA-F0508 @ 26원 서일</t>
  </si>
  <si>
    <t>66P-YL (MOQ 500ft) (3,993원) 업체:체이스
2511257(단종)
2340940 (대체품) (MOQ 100 feet) (2,100원)</t>
  </si>
  <si>
    <r>
      <t xml:space="preserve">
</t>
    </r>
    <r>
      <rPr>
        <sz val="10"/>
        <color indexed="10"/>
        <rFont val="맑은 고딕"/>
        <family val="3"/>
        <charset val="129"/>
        <scheme val="major"/>
      </rPr>
      <t>5 4322K161    @17,200원</t>
    </r>
    <r>
      <rPr>
        <sz val="10"/>
        <rFont val="맑은 고딕"/>
        <family val="3"/>
        <charset val="129"/>
        <scheme val="major"/>
      </rPr>
      <t xml:space="preserve">
4 151522MP
3 J31-4-10-15
2 J2SX-4-10
1 T69-4-1-10-D
</t>
    </r>
    <phoneticPr fontId="2" type="noConversion"/>
  </si>
  <si>
    <r>
      <rPr>
        <sz val="10"/>
        <color indexed="10"/>
        <rFont val="맑은 고딕"/>
        <family val="3"/>
        <charset val="129"/>
        <scheme val="major"/>
      </rPr>
      <t>4 4322k161   @17,200원</t>
    </r>
    <r>
      <rPr>
        <sz val="10"/>
        <rFont val="맑은 고딕"/>
        <family val="3"/>
        <charset val="129"/>
        <scheme val="major"/>
      </rPr>
      <t xml:space="preserve">
3 1.0"OD,304 SST </t>
    </r>
    <r>
      <rPr>
        <sz val="10"/>
        <color indexed="40"/>
        <rFont val="맑은 고딕"/>
        <family val="3"/>
        <charset val="129"/>
        <scheme val="major"/>
      </rPr>
      <t>: SPEC X</t>
    </r>
    <r>
      <rPr>
        <sz val="10"/>
        <color indexed="10"/>
        <rFont val="맑은 고딕"/>
        <family val="3"/>
        <charset val="129"/>
        <scheme val="major"/>
      </rPr>
      <t xml:space="preserve">
</t>
    </r>
    <r>
      <rPr>
        <sz val="10"/>
        <rFont val="맑은 고딕"/>
        <family val="3"/>
        <charset val="129"/>
        <scheme val="major"/>
      </rPr>
      <t>2 J7W-4-10
1 T69-4-1-10-D</t>
    </r>
    <phoneticPr fontId="2" type="noConversion"/>
  </si>
  <si>
    <r>
      <t xml:space="preserve">3LZ86 </t>
    </r>
    <r>
      <rPr>
        <sz val="10"/>
        <color rgb="FFFF0000"/>
        <rFont val="맑은 고딕"/>
        <family val="3"/>
        <charset val="129"/>
        <scheme val="major"/>
      </rPr>
      <t>@48,924원</t>
    </r>
    <r>
      <rPr>
        <sz val="10"/>
        <rFont val="맑은 고딕"/>
        <family val="3"/>
        <charset val="129"/>
        <scheme val="major"/>
      </rPr>
      <t xml:space="preserve">
1-1/2IN X1-1/2IN</t>
    </r>
    <phoneticPr fontId="2" type="noConversion"/>
  </si>
  <si>
    <r>
      <t xml:space="preserve">3LZ86 </t>
    </r>
    <r>
      <rPr>
        <sz val="10"/>
        <color rgb="FFFF0000"/>
        <rFont val="맑은 고딕"/>
        <family val="3"/>
        <charset val="129"/>
        <scheme val="major"/>
      </rPr>
      <t>@48,924원</t>
    </r>
    <r>
      <rPr>
        <sz val="10"/>
        <rFont val="맑은 고딕"/>
        <family val="3"/>
        <charset val="129"/>
        <scheme val="major"/>
      </rPr>
      <t xml:space="preserve">
1-1/2IN X1-1/2IN</t>
    </r>
    <phoneticPr fontId="2" type="noConversion"/>
  </si>
  <si>
    <r>
      <t xml:space="preserve">13MHP-1-304
4322K711     </t>
    </r>
    <r>
      <rPr>
        <sz val="10"/>
        <color indexed="10"/>
        <rFont val="맑은 고딕"/>
        <family val="3"/>
        <charset val="129"/>
        <scheme val="major"/>
      </rPr>
      <t>@75,000원</t>
    </r>
    <phoneticPr fontId="2" type="noConversion"/>
  </si>
  <si>
    <r>
      <t xml:space="preserve">13MHP-1-304
4322K711     </t>
    </r>
    <r>
      <rPr>
        <sz val="10"/>
        <color indexed="10"/>
        <rFont val="맑은 고딕"/>
        <family val="3"/>
        <charset val="129"/>
        <scheme val="major"/>
      </rPr>
      <t>@75,000원</t>
    </r>
    <phoneticPr fontId="2" type="noConversion"/>
  </si>
  <si>
    <r>
      <t xml:space="preserve">1.  T69-4-1-15-D : </t>
    </r>
    <r>
      <rPr>
        <sz val="10"/>
        <color indexed="30"/>
        <rFont val="맑은 고딕"/>
        <family val="3"/>
        <charset val="129"/>
        <scheme val="major"/>
      </rPr>
      <t>TUBE 1.5" OD X 0.065 THK 304L SST</t>
    </r>
    <r>
      <rPr>
        <sz val="10"/>
        <rFont val="맑은 고딕"/>
        <family val="3"/>
        <charset val="129"/>
        <scheme val="major"/>
      </rPr>
      <t xml:space="preserve">
2.  J2SX-4-15 : </t>
    </r>
    <r>
      <rPr>
        <sz val="10"/>
        <color indexed="30"/>
        <rFont val="맑은 고딕"/>
        <family val="3"/>
        <charset val="129"/>
        <scheme val="major"/>
      </rPr>
      <t>SHORT BUTT WELD 90 DEG, 1.5"</t>
    </r>
    <r>
      <rPr>
        <sz val="10"/>
        <rFont val="맑은 고딕"/>
        <family val="3"/>
        <charset val="129"/>
        <scheme val="major"/>
      </rPr>
      <t xml:space="preserve">
</t>
    </r>
    <r>
      <rPr>
        <sz val="10"/>
        <color indexed="10"/>
        <rFont val="맑은 고딕"/>
        <family val="3"/>
        <charset val="129"/>
        <scheme val="major"/>
      </rPr>
      <t>3.  4322K162   @19,000원</t>
    </r>
    <r>
      <rPr>
        <sz val="10"/>
        <rFont val="맑은 고딕"/>
        <family val="3"/>
        <charset val="129"/>
        <scheme val="major"/>
      </rPr>
      <t xml:space="preserve">
4.  22MP-1.5-304</t>
    </r>
    <phoneticPr fontId="2" type="noConversion"/>
  </si>
  <si>
    <r>
      <t xml:space="preserve">1.  T69-4-1-15-D : </t>
    </r>
    <r>
      <rPr>
        <sz val="10"/>
        <color indexed="30"/>
        <rFont val="맑은 고딕"/>
        <family val="3"/>
        <charset val="129"/>
        <scheme val="major"/>
      </rPr>
      <t>TUBE 1.5" OD X 0.065 THK 304L SST</t>
    </r>
    <r>
      <rPr>
        <sz val="10"/>
        <rFont val="맑은 고딕"/>
        <family val="3"/>
        <charset val="129"/>
        <scheme val="major"/>
      </rPr>
      <t xml:space="preserve">
2.  J7W-41-15 : </t>
    </r>
    <r>
      <rPr>
        <sz val="10"/>
        <color indexed="30"/>
        <rFont val="맑은 고딕"/>
        <family val="3"/>
        <charset val="129"/>
        <scheme val="major"/>
      </rPr>
      <t>1.5" TEE 304L SST</t>
    </r>
    <r>
      <rPr>
        <sz val="10"/>
        <rFont val="맑은 고딕"/>
        <family val="3"/>
        <charset val="129"/>
        <scheme val="major"/>
      </rPr>
      <t xml:space="preserve">
3.  1.5" OD, 304 SST
</t>
    </r>
    <r>
      <rPr>
        <sz val="10"/>
        <color indexed="10"/>
        <rFont val="맑은 고딕"/>
        <family val="3"/>
        <charset val="129"/>
        <scheme val="major"/>
      </rPr>
      <t>4.  4322K162   @19,000원</t>
    </r>
    <phoneticPr fontId="2" type="noConversion"/>
  </si>
  <si>
    <r>
      <t xml:space="preserve">TC-J-NPT-G-72     </t>
    </r>
    <r>
      <rPr>
        <sz val="10"/>
        <color rgb="FFFF0000"/>
        <rFont val="맑은 고딕"/>
        <family val="3"/>
        <charset val="129"/>
        <scheme val="major"/>
      </rPr>
      <t xml:space="preserve"> (납기 11주)</t>
    </r>
    <phoneticPr fontId="2" type="noConversion"/>
  </si>
  <si>
    <r>
      <t xml:space="preserve">1111N17   </t>
    </r>
    <r>
      <rPr>
        <sz val="10"/>
        <color indexed="10"/>
        <rFont val="맑은 고딕"/>
        <family val="3"/>
        <charset val="129"/>
        <scheme val="major"/>
      </rPr>
      <t xml:space="preserve"> @726,000 길이 48"</t>
    </r>
    <r>
      <rPr>
        <sz val="10"/>
        <rFont val="맑은 고딕"/>
        <family val="3"/>
        <charset val="129"/>
        <scheme val="major"/>
      </rPr>
      <t xml:space="preserve">
KDB-1002   </t>
    </r>
    <r>
      <rPr>
        <sz val="10"/>
        <color indexed="10"/>
        <rFont val="맑은 고딕"/>
        <family val="3"/>
        <charset val="129"/>
        <scheme val="major"/>
      </rPr>
      <t>@270,000</t>
    </r>
    <phoneticPr fontId="2" type="noConversion"/>
  </si>
  <si>
    <r>
      <t xml:space="preserve">21MP-1.5X1.5-316-1
21MP-15X15-316-7
50485K512  </t>
    </r>
    <r>
      <rPr>
        <sz val="10"/>
        <color indexed="10"/>
        <rFont val="맑은 고딕"/>
        <family val="3"/>
        <charset val="129"/>
        <scheme val="major"/>
      </rPr>
      <t>@160,000원</t>
    </r>
    <r>
      <rPr>
        <sz val="10"/>
        <rFont val="맑은 고딕"/>
        <family val="3"/>
        <charset val="129"/>
        <scheme val="major"/>
      </rPr>
      <t xml:space="preserve">
4322K412    </t>
    </r>
    <r>
      <rPr>
        <sz val="10"/>
        <color indexed="10"/>
        <rFont val="맑은 고딕"/>
        <family val="3"/>
        <charset val="129"/>
        <scheme val="major"/>
      </rPr>
      <t>@132,000원</t>
    </r>
    <phoneticPr fontId="2" type="noConversion"/>
  </si>
  <si>
    <r>
      <t>216-301</t>
    </r>
    <r>
      <rPr>
        <strike/>
        <sz val="10"/>
        <color rgb="FFFF0000"/>
        <rFont val="맑은 고딕"/>
        <family val="3"/>
        <charset val="129"/>
        <scheme val="major"/>
      </rPr>
      <t xml:space="preserve"> (MOQ 100EA)</t>
    </r>
    <phoneticPr fontId="2" type="noConversion"/>
  </si>
  <si>
    <r>
      <t xml:space="preserve">13MHP-1-304
4322K711     </t>
    </r>
    <r>
      <rPr>
        <sz val="10"/>
        <color indexed="10"/>
        <rFont val="맑은 고딕"/>
        <family val="3"/>
        <charset val="129"/>
        <scheme val="major"/>
      </rPr>
      <t>@75,000원</t>
    </r>
    <phoneticPr fontId="2" type="noConversion"/>
  </si>
  <si>
    <r>
      <t>1.  T69-4-1-15-D</t>
    </r>
    <r>
      <rPr>
        <sz val="10"/>
        <color indexed="30"/>
        <rFont val="맑은 고딕"/>
        <family val="3"/>
        <charset val="129"/>
        <scheme val="major"/>
      </rPr>
      <t xml:space="preserve"> : TUBE 1.5" OD X 0.065 THK 304L SST</t>
    </r>
    <r>
      <rPr>
        <sz val="10"/>
        <rFont val="맑은 고딕"/>
        <family val="3"/>
        <charset val="129"/>
        <scheme val="major"/>
      </rPr>
      <t xml:space="preserve">
2.  J2SX-4-15</t>
    </r>
    <r>
      <rPr>
        <sz val="10"/>
        <color indexed="30"/>
        <rFont val="맑은 고딕"/>
        <family val="3"/>
        <charset val="129"/>
        <scheme val="major"/>
      </rPr>
      <t xml:space="preserve"> : SHORT BUTT WELD 90 DEG, 1.5"</t>
    </r>
    <r>
      <rPr>
        <sz val="10"/>
        <rFont val="맑은 고딕"/>
        <family val="3"/>
        <charset val="129"/>
        <scheme val="major"/>
      </rPr>
      <t xml:space="preserve">
</t>
    </r>
    <r>
      <rPr>
        <sz val="10"/>
        <color indexed="10"/>
        <rFont val="맑은 고딕"/>
        <family val="3"/>
        <charset val="129"/>
        <scheme val="major"/>
      </rPr>
      <t>3.  4322K162   @19,000원</t>
    </r>
    <r>
      <rPr>
        <sz val="10"/>
        <rFont val="맑은 고딕"/>
        <family val="3"/>
        <charset val="129"/>
        <scheme val="major"/>
      </rPr>
      <t xml:space="preserve">
4.  22MP-1.5-304</t>
    </r>
    <phoneticPr fontId="2" type="noConversion"/>
  </si>
  <si>
    <r>
      <t xml:space="preserve">1.  T69-4-1-15-D </t>
    </r>
    <r>
      <rPr>
        <sz val="10"/>
        <color indexed="30"/>
        <rFont val="맑은 고딕"/>
        <family val="3"/>
        <charset val="129"/>
        <scheme val="major"/>
      </rPr>
      <t>: TUBE 1.5" OD X 0.065 THK 304L SST</t>
    </r>
    <r>
      <rPr>
        <sz val="10"/>
        <rFont val="맑은 고딕"/>
        <family val="3"/>
        <charset val="129"/>
        <scheme val="major"/>
      </rPr>
      <t xml:space="preserve">
2.  J2SX-4-15 </t>
    </r>
    <r>
      <rPr>
        <sz val="10"/>
        <color indexed="30"/>
        <rFont val="맑은 고딕"/>
        <family val="3"/>
        <charset val="129"/>
        <scheme val="major"/>
      </rPr>
      <t xml:space="preserve"> : SHORT BUTT WELD 90 DEG, 1.5"</t>
    </r>
    <r>
      <rPr>
        <sz val="10"/>
        <rFont val="맑은 고딕"/>
        <family val="3"/>
        <charset val="129"/>
        <scheme val="major"/>
      </rPr>
      <t xml:space="preserve">
</t>
    </r>
    <r>
      <rPr>
        <sz val="10"/>
        <color indexed="10"/>
        <rFont val="맑은 고딕"/>
        <family val="3"/>
        <charset val="129"/>
        <scheme val="major"/>
      </rPr>
      <t>3.  4322K162   @19,000원</t>
    </r>
    <phoneticPr fontId="2" type="noConversion"/>
  </si>
  <si>
    <r>
      <t>1-1/2''-50M76</t>
    </r>
    <r>
      <rPr>
        <b/>
        <sz val="10"/>
        <rFont val="맑은 고딕"/>
        <family val="3"/>
        <charset val="129"/>
        <scheme val="major"/>
      </rPr>
      <t xml:space="preserve"> 46495K25</t>
    </r>
    <phoneticPr fontId="2" type="noConversion"/>
  </si>
  <si>
    <r>
      <t xml:space="preserve">21MP-1.5X1.5-316-1
21MP-15X15-316-7
50485K512  </t>
    </r>
    <r>
      <rPr>
        <sz val="10"/>
        <color indexed="10"/>
        <rFont val="맑은 고딕"/>
        <family val="3"/>
        <charset val="129"/>
        <scheme val="major"/>
      </rPr>
      <t>@160,000원</t>
    </r>
    <r>
      <rPr>
        <sz val="10"/>
        <rFont val="맑은 고딕"/>
        <family val="3"/>
        <charset val="129"/>
        <scheme val="major"/>
      </rPr>
      <t xml:space="preserve">
4322K412    </t>
    </r>
    <r>
      <rPr>
        <sz val="10"/>
        <color indexed="10"/>
        <rFont val="맑은 고딕"/>
        <family val="3"/>
        <charset val="129"/>
        <scheme val="major"/>
      </rPr>
      <t>@132,000원</t>
    </r>
    <phoneticPr fontId="2" type="noConversion"/>
  </si>
  <si>
    <r>
      <t xml:space="preserve">13MHP-1-304
4322K711     </t>
    </r>
    <r>
      <rPr>
        <sz val="10"/>
        <color indexed="10"/>
        <rFont val="맑은 고딕"/>
        <family val="3"/>
        <charset val="129"/>
        <scheme val="major"/>
      </rPr>
      <t>@75,000원</t>
    </r>
    <phoneticPr fontId="2" type="noConversion"/>
  </si>
  <si>
    <r>
      <t>1.  T69-4-1-10-D</t>
    </r>
    <r>
      <rPr>
        <sz val="10"/>
        <color indexed="30"/>
        <rFont val="맑은 고딕"/>
        <family val="3"/>
        <charset val="129"/>
        <scheme val="major"/>
      </rPr>
      <t xml:space="preserve"> : TUBE 1" OD X 0.065 THK 304L SST</t>
    </r>
    <r>
      <rPr>
        <sz val="10"/>
        <rFont val="맑은 고딕"/>
        <family val="3"/>
        <charset val="129"/>
        <scheme val="major"/>
      </rPr>
      <t xml:space="preserve">
2.  J7W-4-10</t>
    </r>
    <r>
      <rPr>
        <sz val="10"/>
        <color indexed="30"/>
        <rFont val="맑은 고딕"/>
        <family val="3"/>
        <charset val="129"/>
        <scheme val="major"/>
      </rPr>
      <t xml:space="preserve"> : 1" TEE 304L SST</t>
    </r>
    <r>
      <rPr>
        <sz val="10"/>
        <rFont val="맑은 고딕"/>
        <family val="3"/>
        <charset val="129"/>
        <scheme val="major"/>
      </rPr>
      <t xml:space="preserve">
</t>
    </r>
    <r>
      <rPr>
        <sz val="10"/>
        <color indexed="10"/>
        <rFont val="맑은 고딕"/>
        <family val="3"/>
        <charset val="129"/>
        <scheme val="major"/>
      </rPr>
      <t>3.  4322K161   @17,200원</t>
    </r>
    <phoneticPr fontId="2" type="noConversion"/>
  </si>
  <si>
    <r>
      <t>1.  T69-4-1-10-D</t>
    </r>
    <r>
      <rPr>
        <sz val="10"/>
        <color indexed="30"/>
        <rFont val="맑은 고딕"/>
        <family val="3"/>
        <charset val="129"/>
        <scheme val="major"/>
      </rPr>
      <t xml:space="preserve"> : TUBE 1" OD X 0.065 THK 304L SST</t>
    </r>
    <r>
      <rPr>
        <sz val="10"/>
        <rFont val="맑은 고딕"/>
        <family val="3"/>
        <charset val="129"/>
        <scheme val="major"/>
      </rPr>
      <t xml:space="preserve">
2.  J2SX-4-10 </t>
    </r>
    <r>
      <rPr>
        <sz val="10"/>
        <color indexed="30"/>
        <rFont val="맑은 고딕"/>
        <family val="3"/>
        <charset val="129"/>
        <scheme val="major"/>
      </rPr>
      <t>: SHORT BUTT WELD 90 DEG, 1" OD, 304 SST</t>
    </r>
    <r>
      <rPr>
        <sz val="10"/>
        <rFont val="맑은 고딕"/>
        <family val="3"/>
        <charset val="129"/>
        <scheme val="major"/>
      </rPr>
      <t xml:space="preserve">
3.  J31-4-10-15</t>
    </r>
    <r>
      <rPr>
        <sz val="10"/>
        <color indexed="30"/>
        <rFont val="맑은 고딕"/>
        <family val="3"/>
        <charset val="129"/>
        <scheme val="major"/>
      </rPr>
      <t xml:space="preserve"> : 1.0 X 1.5 REDUCER BUTT WELD</t>
    </r>
    <r>
      <rPr>
        <sz val="10"/>
        <rFont val="맑은 고딕"/>
        <family val="3"/>
        <charset val="129"/>
        <scheme val="major"/>
      </rPr>
      <t xml:space="preserve">
4.  JC22-4-1515</t>
    </r>
    <r>
      <rPr>
        <sz val="10"/>
        <color indexed="30"/>
        <rFont val="맑은 고딕"/>
        <family val="3"/>
        <charset val="129"/>
        <scheme val="major"/>
      </rPr>
      <t xml:space="preserve"> : 1.5" FEMALE NPT</t>
    </r>
    <r>
      <rPr>
        <sz val="10"/>
        <rFont val="맑은 고딕"/>
        <family val="3"/>
        <charset val="129"/>
        <scheme val="major"/>
      </rPr>
      <t xml:space="preserve">
</t>
    </r>
    <r>
      <rPr>
        <sz val="10"/>
        <color indexed="10"/>
        <rFont val="맑은 고딕"/>
        <family val="3"/>
        <charset val="129"/>
        <scheme val="major"/>
      </rPr>
      <t>5.  4322K161    @17,200원</t>
    </r>
    <phoneticPr fontId="2" type="noConversion"/>
  </si>
  <si>
    <r>
      <t xml:space="preserve">21MP-1.5X1.5-316-1
21MP-15X15-316-7
50485K512  </t>
    </r>
    <r>
      <rPr>
        <sz val="10"/>
        <color rgb="FFFF0000"/>
        <rFont val="맑은 고딕"/>
        <family val="3"/>
        <charset val="129"/>
        <scheme val="major"/>
      </rPr>
      <t>@160,000원</t>
    </r>
    <r>
      <rPr>
        <sz val="10"/>
        <rFont val="맑은 고딕"/>
        <family val="3"/>
        <charset val="129"/>
        <scheme val="major"/>
      </rPr>
      <t xml:space="preserve">
4322K412    </t>
    </r>
    <r>
      <rPr>
        <sz val="10"/>
        <color rgb="FFFF0000"/>
        <rFont val="맑은 고딕"/>
        <family val="3"/>
        <charset val="129"/>
        <scheme val="major"/>
      </rPr>
      <t>@132,000원</t>
    </r>
    <phoneticPr fontId="2" type="noConversion"/>
  </si>
  <si>
    <r>
      <t xml:space="preserve">SS-1610-3-16-8 </t>
    </r>
    <r>
      <rPr>
        <sz val="10"/>
        <color rgb="FFFF0000"/>
        <rFont val="맑은 고딕"/>
        <family val="3"/>
        <charset val="129"/>
        <scheme val="major"/>
      </rPr>
      <t>@400,500</t>
    </r>
    <r>
      <rPr>
        <sz val="10"/>
        <rFont val="맑은 고딕"/>
        <family val="3"/>
        <charset val="129"/>
        <scheme val="major"/>
      </rPr>
      <t xml:space="preserve">
SRUT-16-8 </t>
    </r>
    <r>
      <rPr>
        <sz val="10"/>
        <color rgb="FFFF0000"/>
        <rFont val="맑은 고딕"/>
        <family val="3"/>
        <charset val="129"/>
        <scheme val="major"/>
      </rPr>
      <t>@47,000</t>
    </r>
    <r>
      <rPr>
        <sz val="10"/>
        <rFont val="맑은 고딕"/>
        <family val="3"/>
        <charset val="129"/>
        <scheme val="major"/>
      </rPr>
      <t xml:space="preserve">
16-16-8 JLZ-316 </t>
    </r>
    <r>
      <rPr>
        <sz val="10"/>
        <color rgb="FFFF0000"/>
        <rFont val="맑은 고딕"/>
        <family val="3"/>
        <charset val="129"/>
        <scheme val="major"/>
      </rPr>
      <t>@852,000</t>
    </r>
    <r>
      <rPr>
        <sz val="10"/>
        <rFont val="맑은 고딕"/>
        <family val="3"/>
        <charset val="129"/>
        <scheme val="major"/>
      </rPr>
      <t xml:space="preserve">
CTR 16-16-8-S316 : </t>
    </r>
    <r>
      <rPr>
        <sz val="10"/>
        <color rgb="FFFF0000"/>
        <rFont val="맑은 고딕"/>
        <family val="3"/>
        <charset val="129"/>
        <scheme val="major"/>
      </rPr>
      <t>@84,050</t>
    </r>
    <phoneticPr fontId="2" type="noConversion"/>
  </si>
  <si>
    <r>
      <t xml:space="preserve">3400490
</t>
    </r>
    <r>
      <rPr>
        <strike/>
        <sz val="10"/>
        <color rgb="FFFF0000"/>
        <rFont val="맑은 고딕"/>
        <family val="3"/>
        <charset val="129"/>
        <scheme val="major"/>
      </rPr>
      <t>→ 340218502</t>
    </r>
    <phoneticPr fontId="2" type="noConversion"/>
  </si>
  <si>
    <r>
      <t xml:space="preserve">3LZ86 </t>
    </r>
    <r>
      <rPr>
        <strike/>
        <sz val="10"/>
        <color rgb="FFFF0000"/>
        <rFont val="맑은 고딕"/>
        <family val="3"/>
        <charset val="129"/>
        <scheme val="major"/>
      </rPr>
      <t>@48,924원</t>
    </r>
    <r>
      <rPr>
        <strike/>
        <sz val="10"/>
        <rFont val="맑은 고딕"/>
        <family val="3"/>
        <charset val="129"/>
        <scheme val="major"/>
      </rPr>
      <t xml:space="preserve">
1-1/2IN X1-1/2IN</t>
    </r>
    <phoneticPr fontId="2" type="noConversion"/>
  </si>
  <si>
    <r>
      <t xml:space="preserve">3400490
</t>
    </r>
    <r>
      <rPr>
        <strike/>
        <sz val="10"/>
        <color rgb="FFFF0000"/>
        <rFont val="맑은 고딕"/>
        <family val="3"/>
        <charset val="129"/>
        <scheme val="major"/>
      </rPr>
      <t>→ 340218502</t>
    </r>
    <phoneticPr fontId="2" type="noConversion"/>
  </si>
  <si>
    <r>
      <t xml:space="preserve"> SS-1610-7-12 : 123,100
</t>
    </r>
    <r>
      <rPr>
        <sz val="10"/>
        <color rgb="FFFF0000"/>
        <rFont val="맑은 고딕"/>
        <family val="3"/>
        <charset val="129"/>
        <scheme val="major"/>
      </rPr>
      <t xml:space="preserve"> SFC-16-12N : 17,500</t>
    </r>
    <r>
      <rPr>
        <sz val="10"/>
        <rFont val="맑은 고딕"/>
        <family val="3"/>
        <charset val="129"/>
        <scheme val="major"/>
      </rPr>
      <t xml:space="preserve">
 CFC 16-12N-S316 : 33,240</t>
    </r>
    <phoneticPr fontId="2" type="noConversion"/>
  </si>
  <si>
    <r>
      <t xml:space="preserve">SS-810-9 : 72,400
</t>
    </r>
    <r>
      <rPr>
        <sz val="10"/>
        <color rgb="FFFF0000"/>
        <rFont val="맑은 고딕"/>
        <family val="3"/>
        <charset val="129"/>
        <scheme val="major"/>
      </rPr>
      <t>SUE-8  : 10,300</t>
    </r>
    <r>
      <rPr>
        <sz val="10"/>
        <rFont val="맑은 고딕"/>
        <family val="3"/>
        <charset val="129"/>
        <scheme val="major"/>
      </rPr>
      <t xml:space="preserve">
CLA-8-S316 : 17,460</t>
    </r>
    <phoneticPr fontId="2" type="noConversion"/>
  </si>
  <si>
    <r>
      <t xml:space="preserve">13MHP-1-304
4322K711     </t>
    </r>
    <r>
      <rPr>
        <sz val="10"/>
        <color indexed="10"/>
        <rFont val="맑은 고딕"/>
        <family val="3"/>
        <charset val="129"/>
        <scheme val="major"/>
      </rPr>
      <t>@75,000원</t>
    </r>
    <phoneticPr fontId="2" type="noConversion"/>
  </si>
  <si>
    <r>
      <t>1.  T69-4-1-10-D</t>
    </r>
    <r>
      <rPr>
        <sz val="10"/>
        <color indexed="30"/>
        <rFont val="맑은 고딕"/>
        <family val="3"/>
        <charset val="129"/>
        <scheme val="major"/>
      </rPr>
      <t xml:space="preserve"> : TUBE 1" OD X 0.065 THK 304L SST</t>
    </r>
    <r>
      <rPr>
        <sz val="10"/>
        <rFont val="맑은 고딕"/>
        <family val="3"/>
        <charset val="129"/>
        <scheme val="major"/>
      </rPr>
      <t xml:space="preserve">
2.  J2SX-4-10</t>
    </r>
    <r>
      <rPr>
        <sz val="10"/>
        <color indexed="30"/>
        <rFont val="맑은 고딕"/>
        <family val="3"/>
        <charset val="129"/>
        <scheme val="major"/>
      </rPr>
      <t xml:space="preserve"> : SHORT BUTT WELD 90 DEG, 1" OD, 304 SST</t>
    </r>
    <r>
      <rPr>
        <sz val="10"/>
        <rFont val="맑은 고딕"/>
        <family val="3"/>
        <charset val="129"/>
        <scheme val="major"/>
      </rPr>
      <t xml:space="preserve">
</t>
    </r>
    <r>
      <rPr>
        <sz val="10"/>
        <color indexed="10"/>
        <rFont val="맑은 고딕"/>
        <family val="3"/>
        <charset val="129"/>
        <scheme val="major"/>
      </rPr>
      <t>3.  4322K161   @17,200원</t>
    </r>
    <phoneticPr fontId="2" type="noConversion"/>
  </si>
  <si>
    <r>
      <t>1.  T69-4-10-0</t>
    </r>
    <r>
      <rPr>
        <sz val="10"/>
        <color indexed="30"/>
        <rFont val="맑은 고딕"/>
        <family val="3"/>
        <charset val="129"/>
        <scheme val="major"/>
      </rPr>
      <t xml:space="preserve"> : TUBE 1" OD X 0.065 THK 304L SST</t>
    </r>
    <r>
      <rPr>
        <sz val="10"/>
        <rFont val="맑은 고딕"/>
        <family val="3"/>
        <charset val="129"/>
        <scheme val="major"/>
      </rPr>
      <t xml:space="preserve">
2.  J2SX-4-10 </t>
    </r>
    <r>
      <rPr>
        <sz val="10"/>
        <color indexed="30"/>
        <rFont val="맑은 고딕"/>
        <family val="3"/>
        <charset val="129"/>
        <scheme val="major"/>
      </rPr>
      <t>: SHORT BUTT WELD 90 DEG, 1" OD, 304 SST</t>
    </r>
    <r>
      <rPr>
        <sz val="10"/>
        <rFont val="맑은 고딕"/>
        <family val="3"/>
        <charset val="129"/>
        <scheme val="major"/>
      </rPr>
      <t xml:space="preserve">
3.  J31-4-10-15</t>
    </r>
    <r>
      <rPr>
        <sz val="10"/>
        <color indexed="30"/>
        <rFont val="맑은 고딕"/>
        <family val="3"/>
        <charset val="129"/>
        <scheme val="major"/>
      </rPr>
      <t xml:space="preserve">  : 1.0 X 1.5 REDUCER BUTT WELD</t>
    </r>
    <r>
      <rPr>
        <sz val="10"/>
        <rFont val="맑은 고딕"/>
        <family val="3"/>
        <charset val="129"/>
        <scheme val="major"/>
      </rPr>
      <t xml:space="preserve">
4.  151522MP</t>
    </r>
    <r>
      <rPr>
        <sz val="10"/>
        <color indexed="30"/>
        <rFont val="맑은 고딕"/>
        <family val="3"/>
        <charset val="129"/>
        <scheme val="major"/>
      </rPr>
      <t xml:space="preserve"> : ADAPTER 1.5" SANITARY 1.5" FNPT</t>
    </r>
    <r>
      <rPr>
        <sz val="10"/>
        <rFont val="맑은 고딕"/>
        <family val="3"/>
        <charset val="129"/>
        <scheme val="major"/>
      </rPr>
      <t xml:space="preserve">
</t>
    </r>
    <r>
      <rPr>
        <sz val="10"/>
        <color indexed="10"/>
        <rFont val="맑은 고딕"/>
        <family val="3"/>
        <charset val="129"/>
        <scheme val="major"/>
      </rPr>
      <t>5. 4322K161    @17,200원</t>
    </r>
    <phoneticPr fontId="2" type="noConversion"/>
  </si>
  <si>
    <r>
      <t xml:space="preserve">MC3806S70
2.5BC-6S </t>
    </r>
    <r>
      <rPr>
        <sz val="10"/>
        <color rgb="FFFF0000"/>
        <rFont val="맑은 고딕"/>
        <family val="3"/>
        <charset val="129"/>
        <scheme val="major"/>
      </rPr>
      <t>(150,000원) (납기 2~3개월)</t>
    </r>
    <phoneticPr fontId="2" type="noConversion"/>
  </si>
  <si>
    <r>
      <t xml:space="preserve">66P-YL (MOQ 500ft) (3,993원) 업체:체이스
2511257(단종)
</t>
    </r>
    <r>
      <rPr>
        <sz val="10"/>
        <color rgb="FFFF0000"/>
        <rFont val="맑은 고딕"/>
        <family val="3"/>
        <charset val="129"/>
        <scheme val="major"/>
      </rPr>
      <t>2340940 (대체품) (MOQ 100 feet) (2,100원)</t>
    </r>
    <phoneticPr fontId="2" type="noConversion"/>
  </si>
  <si>
    <r>
      <t xml:space="preserve">66P-B (MOQ 500feet) (4,677원) 업체:체이스
</t>
    </r>
    <r>
      <rPr>
        <sz val="10"/>
        <color rgb="FFFF0000"/>
        <rFont val="맑은 고딕"/>
        <family val="3"/>
        <charset val="129"/>
        <scheme val="major"/>
      </rPr>
      <t>2340849 (대체품) (MOQ 100 feet) (2,100원)</t>
    </r>
    <phoneticPr fontId="2" type="noConversion"/>
  </si>
  <si>
    <r>
      <t>MC3806S70
2.5BC-6S</t>
    </r>
    <r>
      <rPr>
        <sz val="10"/>
        <color rgb="FFFF0000"/>
        <rFont val="맑은 고딕"/>
        <family val="3"/>
        <charset val="129"/>
        <scheme val="major"/>
      </rPr>
      <t xml:space="preserve"> (150,000원) (납기 2~3개월)</t>
    </r>
    <phoneticPr fontId="2" type="noConversion"/>
  </si>
  <si>
    <r>
      <t xml:space="preserve">66P-YL (MOQ 500ft) (3,993원) 업체:체이스
2511257(단종)
</t>
    </r>
    <r>
      <rPr>
        <sz val="10"/>
        <color rgb="FFFF0000"/>
        <rFont val="맑은 고딕"/>
        <family val="3"/>
        <charset val="129"/>
        <scheme val="major"/>
      </rPr>
      <t>2340940 (대체품) (MOQ 100 feet) (2,100원)</t>
    </r>
    <phoneticPr fontId="2" type="noConversion"/>
  </si>
  <si>
    <r>
      <t xml:space="preserve">MC3806S70
2.5BC-6S </t>
    </r>
    <r>
      <rPr>
        <sz val="10"/>
        <color rgb="FFFF0000"/>
        <rFont val="맑은 고딕"/>
        <family val="3"/>
        <charset val="129"/>
        <scheme val="major"/>
      </rPr>
      <t>(150,000원) (납기 2~3개월)</t>
    </r>
    <phoneticPr fontId="2" type="noConversion"/>
  </si>
  <si>
    <r>
      <t>KQ2R07-11A  :</t>
    </r>
    <r>
      <rPr>
        <sz val="10"/>
        <color rgb="FFFF0000"/>
        <rFont val="맑은 고딕"/>
        <family val="3"/>
        <charset val="129"/>
        <scheme val="major"/>
      </rPr>
      <t xml:space="preserve"> 1,260</t>
    </r>
    <r>
      <rPr>
        <sz val="10"/>
        <rFont val="맑은 고딕"/>
        <family val="3"/>
        <charset val="129"/>
        <scheme val="major"/>
      </rPr>
      <t xml:space="preserve">
KQR07-11 : </t>
    </r>
    <r>
      <rPr>
        <sz val="10"/>
        <color rgb="FFFF0000"/>
        <rFont val="맑은 고딕"/>
        <family val="3"/>
        <charset val="129"/>
        <scheme val="major"/>
      </rPr>
      <t>1,260</t>
    </r>
    <phoneticPr fontId="2" type="noConversion"/>
  </si>
  <si>
    <r>
      <t>6 PRESSURE SENSOR SPAU-P10R-T-R14M-L-PNLK-PNVBA-M12D</t>
    </r>
    <r>
      <rPr>
        <b/>
        <sz val="10"/>
        <color indexed="10"/>
        <rFont val="맑은 고딕"/>
        <family val="3"/>
        <charset val="129"/>
        <scheme val="major"/>
      </rPr>
      <t xml:space="preserve">  : 200,000</t>
    </r>
    <r>
      <rPr>
        <sz val="10"/>
        <rFont val="맑은 고딕"/>
        <family val="3"/>
        <charset val="129"/>
        <scheme val="major"/>
      </rPr>
      <t xml:space="preserve">
5 COVER FRONT / REAR
4 HEX NUT MS4-WRS
3 REGULATOR-VALVE 1/4 FNPT
2 TEE 3/8 ONE PUSH
1 ELBOW 3/8 SWAGELOK </t>
    </r>
    <phoneticPr fontId="2" type="noConversion"/>
  </si>
  <si>
    <r>
      <t xml:space="preserve">4 PRESSURE SENSOR SPAU-P10R-T-R14M-L-PNLK-PNVBA-M12D </t>
    </r>
    <r>
      <rPr>
        <b/>
        <sz val="10"/>
        <color indexed="10"/>
        <rFont val="맑은 고딕"/>
        <family val="3"/>
        <charset val="129"/>
        <scheme val="major"/>
      </rPr>
      <t xml:space="preserve"> : 200,000</t>
    </r>
    <r>
      <rPr>
        <sz val="10"/>
        <rFont val="맑은 고딕"/>
        <family val="3"/>
        <charset val="129"/>
        <scheme val="major"/>
      </rPr>
      <t xml:space="preserve">
3 TEE 3/8 ONE PUSH
2 BRASS PIPE FITT 1/4 NPT
1 ELBOW 3/8 SWAGELOK</t>
    </r>
    <phoneticPr fontId="2" type="noConversion"/>
  </si>
  <si>
    <r>
      <t xml:space="preserve">
7 PRESSURE SENSOR SPAU-P10R-MS4-F-L-PNLK-PNVBA-M12D 8035304 </t>
    </r>
    <r>
      <rPr>
        <b/>
        <sz val="10"/>
        <color indexed="10"/>
        <rFont val="맑은 고딕"/>
        <family val="3"/>
        <charset val="129"/>
        <scheme val="major"/>
      </rPr>
      <t xml:space="preserve"> : 200,000</t>
    </r>
    <r>
      <rPr>
        <sz val="10"/>
        <rFont val="맑은 고딕"/>
        <family val="3"/>
        <charset val="129"/>
        <scheme val="major"/>
      </rPr>
      <t xml:space="preserve">
6 PLASTIC TUBING PUN 5/16 X 1/16 UNT
5 PUSH IN CONN
4 MODULE CONNECTOR
3 REG VALVE 1/4 NPT
2 BRACKET BRACKET
</t>
    </r>
    <phoneticPr fontId="2" type="noConversion"/>
  </si>
  <si>
    <r>
      <t xml:space="preserve">5 ADAPTER, FEMALE, 3/8" X 1/4" NPT SST 316
4 TEE, MALE, 3/8" TUBE OD X 1/4"NPT SST 316
3 ELBOW 3/8 SWAGELOK
2 REG. VALVE FESTO 1/4 IN NPT
1 PRESSURE SENSOR SPAU-P10R-T-R14M-L-PNLK-PNVBA-M12D  </t>
    </r>
    <r>
      <rPr>
        <b/>
        <sz val="10"/>
        <color indexed="10"/>
        <rFont val="맑은 고딕"/>
        <family val="3"/>
        <charset val="129"/>
        <scheme val="major"/>
      </rPr>
      <t>: 200,000</t>
    </r>
    <phoneticPr fontId="2" type="noConversion"/>
  </si>
  <si>
    <r>
      <t xml:space="preserve">SS-43GVS4-LL-YW : 352,700
</t>
    </r>
    <r>
      <rPr>
        <sz val="10"/>
        <color rgb="FFFF0000"/>
        <rFont val="맑은 고딕"/>
        <family val="3"/>
        <charset val="129"/>
        <scheme val="major"/>
      </rPr>
      <t>B2VH-4T-DV-L-Y-S316 : 113,750 (2개월소요)</t>
    </r>
    <phoneticPr fontId="2" type="noConversion"/>
  </si>
  <si>
    <r>
      <t xml:space="preserve">SS-401-PC : 스웨즈락 12,600
</t>
    </r>
    <r>
      <rPr>
        <sz val="10"/>
        <color rgb="FFFF0000"/>
        <rFont val="맑은 고딕"/>
        <family val="3"/>
        <charset val="129"/>
        <scheme val="major"/>
      </rPr>
      <t>CPC-4-S316  HYLOK : 2,990</t>
    </r>
    <phoneticPr fontId="2" type="noConversion"/>
  </si>
  <si>
    <r>
      <t xml:space="preserve">SS-400-9 : 35,900
</t>
    </r>
    <r>
      <rPr>
        <sz val="10"/>
        <color rgb="FFFF0000"/>
        <rFont val="맑은 고딕"/>
        <family val="3"/>
        <charset val="129"/>
        <scheme val="major"/>
      </rPr>
      <t>CLA-4-S316 : 10,240</t>
    </r>
    <phoneticPr fontId="2" type="noConversion"/>
  </si>
  <si>
    <r>
      <t xml:space="preserve">SS-600-1-6 : 24,800
</t>
    </r>
    <r>
      <rPr>
        <sz val="10"/>
        <color rgb="FFFF0000"/>
        <rFont val="맑은 고딕"/>
        <family val="3"/>
        <charset val="129"/>
        <scheme val="major"/>
      </rPr>
      <t>CMC 6-6N-S316 : 6,720</t>
    </r>
    <phoneticPr fontId="2" type="noConversion"/>
  </si>
  <si>
    <r>
      <t xml:space="preserve">SS-600-R-6 : 30,300
</t>
    </r>
    <r>
      <rPr>
        <sz val="10"/>
        <color rgb="FFFF0000"/>
        <rFont val="맑은 고딕"/>
        <family val="3"/>
        <charset val="129"/>
        <scheme val="major"/>
      </rPr>
      <t>CR 6-6-S316 : 8,610</t>
    </r>
    <phoneticPr fontId="2" type="noConversion"/>
  </si>
  <si>
    <r>
      <t xml:space="preserve">SS-600-61 : 54,100
</t>
    </r>
    <r>
      <rPr>
        <sz val="10"/>
        <color rgb="FFFF0000"/>
        <rFont val="맑은 고딕"/>
        <family val="3"/>
        <charset val="129"/>
        <scheme val="major"/>
      </rPr>
      <t>CBU-6-S316 : 14,960</t>
    </r>
    <phoneticPr fontId="2" type="noConversion"/>
  </si>
  <si>
    <r>
      <t xml:space="preserve">PM2H25 (MOQ 1000EA)
</t>
    </r>
    <r>
      <rPr>
        <sz val="10"/>
        <color rgb="FFFF0000"/>
        <rFont val="맑은 고딕"/>
        <family val="3"/>
        <charset val="129"/>
        <scheme val="major"/>
      </rPr>
      <t>대체품 : DAPM-25 (MOQ 1000EA)</t>
    </r>
    <phoneticPr fontId="2" type="noConversion"/>
  </si>
  <si>
    <t>1.  Swagelok 형번아님
2.  Swagelok 형번아님
3.  Swagelok 형번아님
4  Swagelok 형번아님
5.  MCMASTER</t>
    <phoneticPr fontId="2" type="noConversion"/>
  </si>
  <si>
    <t>MCMASTER 배송비 및 관세 8%</t>
    <phoneticPr fontId="2" type="noConversion"/>
  </si>
  <si>
    <t>MCMASTER</t>
    <phoneticPr fontId="2" type="noConversion"/>
  </si>
  <si>
    <t>Generic Manufacturer</t>
    <phoneticPr fontId="2" type="noConversion"/>
  </si>
  <si>
    <t>DIXON VALVE</t>
    <phoneticPr fontId="2" type="noConversion"/>
  </si>
  <si>
    <t>김진호</t>
    <phoneticPr fontId="2" type="noConversion"/>
  </si>
  <si>
    <t>21MP-G150</t>
    <phoneticPr fontId="2" type="noConversion"/>
  </si>
  <si>
    <t>KRW</t>
    <phoneticPr fontId="2" type="noConversion"/>
  </si>
  <si>
    <t>KRW</t>
    <phoneticPr fontId="2" type="noConversion"/>
  </si>
  <si>
    <t>5102969에서 500000396으로 변경</t>
    <phoneticPr fontId="2" type="noConversion"/>
  </si>
  <si>
    <t>CONTACT20 AWG FERRULES / 
FERRULE LUG 24AWG YEL INSULATED</t>
    <phoneticPr fontId="2" type="noConversion"/>
  </si>
  <si>
    <t>SRPC-16-8</t>
    <phoneticPr fontId="2" type="noConversion"/>
  </si>
  <si>
    <t>SUPERLOK</t>
    <phoneticPr fontId="2" type="noConversion"/>
  </si>
  <si>
    <t>SWAGELOK
SUPERLOK
PARKER
HYLOK</t>
  </si>
  <si>
    <t>SS-600-9 @44,000
최소단가(PSD) SUPERLOK (SUE-6) : \6,783 
6EE6-SS @44,200 (MOQ 20EA)
CLA-6-S316 \12,110</t>
  </si>
  <si>
    <t>최소단가 선정
(SUPERLOK)</t>
  </si>
  <si>
    <t>SWAGELOK
SUPERLOK
Parker
HYLOK</t>
  </si>
  <si>
    <t>Swagelok
SUPERLOK</t>
  </si>
  <si>
    <t>SWAGELOK
SUPERLOK
HYLOK</t>
  </si>
  <si>
    <t>SS-600-9 @44,000
최소단가(PSD) SUPERLOK (SUE-6) : @6,783 
6EE6-SS @44,200 (MOQ 20EA)
CLA-6-S316 @12,110</t>
  </si>
  <si>
    <r>
      <t xml:space="preserve">92095A190  </t>
    </r>
    <r>
      <rPr>
        <sz val="10"/>
        <color rgb="FFFF0000"/>
        <rFont val="맑은 고딕"/>
        <family val="3"/>
        <charset val="129"/>
        <scheme val="major"/>
      </rPr>
      <t xml:space="preserve"> (MOQ 1pack 100ea 구매수량4→1로 조정)</t>
    </r>
    <phoneticPr fontId="2" type="noConversion"/>
  </si>
  <si>
    <r>
      <t xml:space="preserve">91847A031   </t>
    </r>
    <r>
      <rPr>
        <sz val="10"/>
        <color rgb="FFFF0000"/>
        <rFont val="맑은 고딕"/>
        <family val="3"/>
        <charset val="129"/>
        <scheme val="major"/>
      </rPr>
      <t>(MOQ 1pack 100EA 구매수량 총32EA → 1EA구매</t>
    </r>
    <phoneticPr fontId="2" type="noConversion"/>
  </si>
  <si>
    <t>3402049 -&gt; 340216341로 변경</t>
    <phoneticPr fontId="2" type="noConversion"/>
  </si>
  <si>
    <t>(주)지원테크
삼테크</t>
    <phoneticPr fontId="2" type="noConversion"/>
  </si>
  <si>
    <t>rev3 금액</t>
    <phoneticPr fontId="2" type="noConversion"/>
  </si>
  <si>
    <t>차액</t>
    <phoneticPr fontId="2" type="noConversion"/>
  </si>
  <si>
    <t>add</t>
    <phoneticPr fontId="2" type="noConversion"/>
  </si>
  <si>
    <t>5102969에서 500000396으로 변경</t>
    <phoneticPr fontId="2" type="noConversion"/>
  </si>
  <si>
    <t>add</t>
    <phoneticPr fontId="2" type="noConversion"/>
  </si>
  <si>
    <t>add</t>
    <phoneticPr fontId="2" type="noConversion"/>
  </si>
  <si>
    <t>MCMASTER 배송비</t>
    <phoneticPr fontId="2" type="noConversion"/>
  </si>
  <si>
    <t>MCMASTER 관세</t>
    <phoneticPr fontId="2" type="noConversion"/>
  </si>
  <si>
    <t>320000377 (46495K25)</t>
    <phoneticPr fontId="2" type="noConversion"/>
  </si>
  <si>
    <t>제품가</t>
    <phoneticPr fontId="2" type="noConversion"/>
  </si>
  <si>
    <t>배송비</t>
    <phoneticPr fontId="2" type="noConversion"/>
  </si>
  <si>
    <t>환율시세 (7/1)</t>
    <phoneticPr fontId="2" type="noConversion"/>
  </si>
  <si>
    <t>ATA-02 (91421)</t>
    <phoneticPr fontId="2" type="noConversion"/>
  </si>
  <si>
    <t>제이케이씨</t>
    <phoneticPr fontId="2" type="noConversion"/>
  </si>
  <si>
    <t>Level</t>
  </si>
  <si>
    <t>CIS Code</t>
  </si>
  <si>
    <t>20자</t>
    <phoneticPr fontId="2" type="noConversion"/>
  </si>
  <si>
    <t>Item ID</t>
  </si>
  <si>
    <t>Rev.</t>
  </si>
  <si>
    <t>Manufacturer Part No.</t>
  </si>
  <si>
    <t>spec</t>
  </si>
  <si>
    <t>Qty</t>
  </si>
  <si>
    <t>Total Qty</t>
  </si>
  <si>
    <t>Purchasing</t>
  </si>
  <si>
    <t>Y = 비구매</t>
    <phoneticPr fontId="2" type="noConversion"/>
  </si>
  <si>
    <t>Y</t>
    <phoneticPr fontId="2" type="noConversion"/>
  </si>
  <si>
    <t>Item Category</t>
  </si>
  <si>
    <t>Y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</si>
  <si>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</si>
  <si>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</si>
  <si>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</si>
  <si>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</si>
  <si>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</si>
  <si>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</si>
  <si>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</si>
  <si>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</si>
  <si>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A.2</t>
  </si>
  <si>
    <t>190002900-1</t>
    <phoneticPr fontId="2" type="noConversion"/>
  </si>
  <si>
    <t>190002900-2</t>
    <phoneticPr fontId="2" type="noConversion"/>
  </si>
  <si>
    <t>190002900-3</t>
    <phoneticPr fontId="2" type="noConversion"/>
  </si>
  <si>
    <t>190002920-2</t>
    <phoneticPr fontId="2" type="noConversion"/>
  </si>
  <si>
    <t>190002920-3</t>
    <phoneticPr fontId="2" type="noConversion"/>
  </si>
  <si>
    <t>TUBE ADAPTER</t>
    <phoneticPr fontId="2" type="noConversion"/>
  </si>
  <si>
    <t>HOSE</t>
    <phoneticPr fontId="2" type="noConversion"/>
  </si>
  <si>
    <t>TAPE</t>
    <phoneticPr fontId="2" type="noConversion"/>
  </si>
  <si>
    <t>N</t>
    <phoneticPr fontId="2" type="noConversion"/>
  </si>
  <si>
    <t>N</t>
    <phoneticPr fontId="2" type="noConversion"/>
  </si>
  <si>
    <t>N</t>
    <phoneticPr fontId="2" type="noConversion"/>
  </si>
  <si>
    <t>N</t>
    <phoneticPr fontId="2" type="noConversion"/>
  </si>
  <si>
    <t>350561-1</t>
  </si>
  <si>
    <t>350561-1</t>
    <phoneticPr fontId="2" type="noConversion"/>
  </si>
  <si>
    <t>TE CONNECTIVITY</t>
  </si>
  <si>
    <t>BELDEN INC</t>
  </si>
  <si>
    <t>190005028-1</t>
    <phoneticPr fontId="2" type="noConversion"/>
  </si>
  <si>
    <t>190005028-2</t>
    <phoneticPr fontId="2" type="noConversion"/>
  </si>
  <si>
    <t>190005028-3</t>
    <phoneticPr fontId="2" type="noConversion"/>
  </si>
  <si>
    <t>190005028-4</t>
    <phoneticPr fontId="2" type="noConversion"/>
  </si>
  <si>
    <t>190005028-5</t>
    <phoneticPr fontId="2" type="noConversion"/>
  </si>
  <si>
    <t>190005028-6</t>
    <phoneticPr fontId="2" type="noConversion"/>
  </si>
  <si>
    <t>190005028-7</t>
    <phoneticPr fontId="2" type="noConversion"/>
  </si>
  <si>
    <t>190005028-8</t>
    <phoneticPr fontId="2" type="noConversion"/>
  </si>
  <si>
    <t>6LV-DFFR8-P-GR 1/2 DF SERIES VALVE, 1/2 FVCR ENDS GREEN HANDLE</t>
    <phoneticPr fontId="2" type="noConversion"/>
  </si>
  <si>
    <t>eaKHF1FRL818A60000BK SS KHF REGUALTOR 0-100PSI RANGE 3600 MAX PSI 1/2FNPT PORTS, PANEL MOUNT PCTFE SEATS</t>
    <phoneticPr fontId="2" type="noConversion"/>
  </si>
  <si>
    <t>MS-VL-S-3 VALVE LOCK OUT ACCESSORY</t>
    <phoneticPr fontId="2" type="noConversion"/>
  </si>
  <si>
    <t>SS-4-HP 1/4"" MNPT PLUG</t>
    <phoneticPr fontId="2" type="noConversion"/>
  </si>
  <si>
    <t>SS-8-VCR-1-8 SS MALE NPT CONNECTOR, 1/2 MVCR BY 1/2 MNPT</t>
    <phoneticPr fontId="2" type="noConversion"/>
  </si>
  <si>
    <t>SS-8-VCR-2-GR-VS SS VCR GASKET RETAINER ASSEMBLY 1/2"" VCR</t>
    <phoneticPr fontId="2" type="noConversion"/>
  </si>
  <si>
    <t>SS-8-WVCR-1-8 SS MALE NPT CONNECTOR, 1/2"" F SWIVEL VCR BY 1/2 MNPT</t>
    <phoneticPr fontId="2" type="noConversion"/>
  </si>
  <si>
    <t>SS-8-VCR-FLC 1/2"" VCR LOCK AND TAG ACCESSORY</t>
    <phoneticPr fontId="2" type="noConversion"/>
  </si>
  <si>
    <t>WIKA</t>
  </si>
  <si>
    <t>SUE-6</t>
    <phoneticPr fontId="2" type="noConversion"/>
  </si>
  <si>
    <t>SUPERLOK</t>
  </si>
  <si>
    <t>SM4GR-SP</t>
    <phoneticPr fontId="2" type="noConversion"/>
  </si>
  <si>
    <t>SM8GR-SP</t>
    <phoneticPr fontId="2" type="noConversion"/>
  </si>
  <si>
    <t>3LZ86</t>
    <phoneticPr fontId="2" type="noConversion"/>
  </si>
  <si>
    <t>GRAINGER</t>
  </si>
  <si>
    <t>SRU 16-12</t>
    <phoneticPr fontId="2" type="noConversion"/>
  </si>
  <si>
    <t>4322K711</t>
    <phoneticPr fontId="2" type="noConversion"/>
  </si>
  <si>
    <t>91847A031</t>
    <phoneticPr fontId="2" type="noConversion"/>
  </si>
  <si>
    <t>91847A031</t>
    <phoneticPr fontId="2" type="noConversion"/>
  </si>
  <si>
    <t>최소단가 선정
+작업비용</t>
    <phoneticPr fontId="2" type="noConversion"/>
  </si>
  <si>
    <t>3LZ86</t>
    <phoneticPr fontId="2" type="noConversion"/>
  </si>
  <si>
    <t>SRU 16-12</t>
    <phoneticPr fontId="2" type="noConversion"/>
  </si>
  <si>
    <t>1111N17</t>
    <phoneticPr fontId="2" type="noConversion"/>
  </si>
  <si>
    <t>4322K412</t>
    <phoneticPr fontId="2" type="noConversion"/>
  </si>
  <si>
    <t>1111N17</t>
    <phoneticPr fontId="2" type="noConversion"/>
  </si>
  <si>
    <t>SRUT-16-8</t>
    <phoneticPr fontId="2" type="noConversion"/>
  </si>
  <si>
    <t>최소단가 선정
+작업비용</t>
    <phoneticPr fontId="2" type="noConversion"/>
  </si>
  <si>
    <t>-</t>
    <phoneticPr fontId="2" type="noConversion"/>
  </si>
  <si>
    <t>SUE-8</t>
    <phoneticPr fontId="2" type="noConversion"/>
  </si>
  <si>
    <t>SFC-16-12N</t>
    <phoneticPr fontId="2" type="noConversion"/>
  </si>
  <si>
    <t>미림</t>
  </si>
  <si>
    <t>SHRINK TUBING(Fit #221 BLK. 1/4" 4FT Lengths</t>
    <phoneticPr fontId="2" type="noConversion"/>
  </si>
  <si>
    <t>1213C(24AWG 3C SHLD 300V)</t>
    <phoneticPr fontId="2" type="noConversion"/>
  </si>
  <si>
    <t>90190A146</t>
    <phoneticPr fontId="2" type="noConversion"/>
  </si>
  <si>
    <t>F4005</t>
    <phoneticPr fontId="2" type="noConversion"/>
  </si>
  <si>
    <t>1-480700-0</t>
    <phoneticPr fontId="2" type="noConversion"/>
  </si>
  <si>
    <t>1-480702-0</t>
    <phoneticPr fontId="2" type="noConversion"/>
  </si>
  <si>
    <t>350689-1</t>
    <phoneticPr fontId="2" type="noConversion"/>
  </si>
  <si>
    <t>1-480705-0</t>
    <phoneticPr fontId="2" type="noConversion"/>
  </si>
  <si>
    <t>643182-1</t>
    <phoneticPr fontId="2" type="noConversion"/>
  </si>
  <si>
    <t>641775-2</t>
    <phoneticPr fontId="2" type="noConversion"/>
  </si>
  <si>
    <t>1-66400-0</t>
    <phoneticPr fontId="2" type="noConversion"/>
  </si>
  <si>
    <t>206966-7</t>
    <phoneticPr fontId="2" type="noConversion"/>
  </si>
  <si>
    <t>770672-1</t>
    <phoneticPr fontId="2" type="noConversion"/>
  </si>
  <si>
    <t>66099-4</t>
    <phoneticPr fontId="2" type="noConversion"/>
  </si>
  <si>
    <t>206705-1</t>
    <phoneticPr fontId="2" type="noConversion"/>
  </si>
  <si>
    <t>206512-5</t>
    <phoneticPr fontId="2" type="noConversion"/>
  </si>
  <si>
    <t>206151-1</t>
    <phoneticPr fontId="2" type="noConversion"/>
  </si>
  <si>
    <t>216-301</t>
    <phoneticPr fontId="2" type="noConversion"/>
  </si>
  <si>
    <t>216-203</t>
    <phoneticPr fontId="2" type="noConversion"/>
  </si>
  <si>
    <t>83025 001100</t>
    <phoneticPr fontId="2" type="noConversion"/>
  </si>
  <si>
    <t xml:space="preserve">TWINTEC INC </t>
  </si>
  <si>
    <t>120213988-1</t>
    <phoneticPr fontId="2" type="noConversion"/>
  </si>
  <si>
    <t>120213988-2</t>
    <phoneticPr fontId="2" type="noConversion"/>
  </si>
  <si>
    <t>SEOIL</t>
  </si>
  <si>
    <t>TC-J-NPT-G-72</t>
    <phoneticPr fontId="2" type="noConversion"/>
  </si>
  <si>
    <t>UA-F0508</t>
    <phoneticPr fontId="2" type="noConversion"/>
  </si>
  <si>
    <t>삼테크</t>
  </si>
  <si>
    <t>삼테크</t>
    <phoneticPr fontId="2" type="noConversion"/>
  </si>
  <si>
    <t>UA-F0508</t>
    <phoneticPr fontId="2" type="noConversion"/>
  </si>
  <si>
    <t>TC-J-NPT-G-72</t>
    <phoneticPr fontId="2" type="noConversion"/>
  </si>
  <si>
    <t>120213988-1</t>
    <phoneticPr fontId="2" type="noConversion"/>
  </si>
  <si>
    <t>120213988-2</t>
    <phoneticPr fontId="2" type="noConversion"/>
  </si>
  <si>
    <t>66P-YL</t>
    <phoneticPr fontId="2" type="noConversion"/>
  </si>
  <si>
    <t>66P-YL</t>
    <phoneticPr fontId="2" type="noConversion"/>
  </si>
  <si>
    <t>PARKER 선정
최소단가</t>
    <phoneticPr fontId="2" type="noConversion"/>
  </si>
  <si>
    <t>E-43-Y-0500</t>
    <phoneticPr fontId="2" type="noConversion"/>
  </si>
  <si>
    <t>E-43-Y-0500</t>
    <phoneticPr fontId="2" type="noConversion"/>
  </si>
  <si>
    <t>PRESSURE SENSOR SPAU-P10R-T-R14M-L-PNLK-PNVBA-M12D</t>
    <phoneticPr fontId="2" type="noConversion"/>
  </si>
  <si>
    <t>PRESSURE SENSOR SPAU-P10R-T-R14M-L-PNLK-PNVBA-M12D</t>
    <phoneticPr fontId="2" type="noConversion"/>
  </si>
  <si>
    <t>PRESSURE SENSOR SPAU-P10R-MS4-F-L-PNLK-PNVBA-M12D 8035304</t>
    <phoneticPr fontId="2" type="noConversion"/>
  </si>
  <si>
    <t>HYLOK</t>
  </si>
  <si>
    <t>DAPM-25</t>
    <phoneticPr fontId="2" type="noConversion"/>
  </si>
  <si>
    <t>34자</t>
    <phoneticPr fontId="2" type="noConversion"/>
  </si>
  <si>
    <t>190002900-1</t>
    <phoneticPr fontId="2" type="noConversion"/>
  </si>
  <si>
    <t>190002920-1</t>
    <phoneticPr fontId="2" type="noConversion"/>
  </si>
  <si>
    <t>190002920-2</t>
    <phoneticPr fontId="2" type="noConversion"/>
  </si>
  <si>
    <t>120213988-2</t>
    <phoneticPr fontId="2" type="noConversion"/>
  </si>
  <si>
    <t>52881433 - WU-25</t>
    <phoneticPr fontId="2" type="noConversion"/>
  </si>
  <si>
    <t>N</t>
    <phoneticPr fontId="2" type="noConversion"/>
  </si>
  <si>
    <t>NO</t>
  </si>
  <si>
    <t>MAKER</t>
  </si>
  <si>
    <t>-</t>
    <phoneticPr fontId="2" type="noConversion"/>
  </si>
  <si>
    <t>-</t>
    <phoneticPr fontId="2" type="noConversion"/>
  </si>
  <si>
    <t>STEEL(+)팬헤드볼트-아연도금</t>
    <phoneticPr fontId="2" type="noConversion"/>
  </si>
  <si>
    <t>1-480704-0</t>
    <phoneticPr fontId="2" type="noConversion"/>
  </si>
  <si>
    <t>DRC-8906</t>
    <phoneticPr fontId="2" type="noConversion"/>
  </si>
  <si>
    <t>44-P BLUE, E43-B-0500</t>
    <phoneticPr fontId="2" type="noConversion"/>
  </si>
  <si>
    <t>66P ORN</t>
    <phoneticPr fontId="2" type="noConversion"/>
  </si>
  <si>
    <t>NN-8-062</t>
    <phoneticPr fontId="2" type="noConversion"/>
  </si>
  <si>
    <t>66P-BK</t>
    <phoneticPr fontId="2" type="noConversion"/>
  </si>
  <si>
    <t>92095A190</t>
    <phoneticPr fontId="2" type="noConversion"/>
  </si>
  <si>
    <t>KQ2R07-11A</t>
    <phoneticPr fontId="2" type="noConversion"/>
  </si>
  <si>
    <t>CLA-4-S316</t>
    <phoneticPr fontId="2" type="noConversion"/>
  </si>
  <si>
    <t>CMC 6-6N-S316</t>
    <phoneticPr fontId="2" type="noConversion"/>
  </si>
  <si>
    <t>CR 6-6-S316</t>
    <phoneticPr fontId="2" type="noConversion"/>
  </si>
  <si>
    <t>CBU-6-S316</t>
    <phoneticPr fontId="2" type="noConversion"/>
  </si>
  <si>
    <t>CPC-4-S316</t>
    <phoneticPr fontId="2" type="noConversion"/>
  </si>
  <si>
    <t>E64-G-0500</t>
    <phoneticPr fontId="2" type="noConversion"/>
  </si>
  <si>
    <t>2.5BC-6S</t>
    <phoneticPr fontId="2" type="noConversion"/>
  </si>
  <si>
    <t>66P-B</t>
  </si>
  <si>
    <t>66P-B</t>
    <phoneticPr fontId="2" type="noConversion"/>
  </si>
  <si>
    <t>83029 001100</t>
    <phoneticPr fontId="2" type="noConversion"/>
  </si>
  <si>
    <t>83029 007100</t>
    <phoneticPr fontId="2" type="noConversion"/>
  </si>
  <si>
    <t>83025 007100</t>
    <phoneticPr fontId="2" type="noConversion"/>
  </si>
  <si>
    <t>641945-</t>
    <phoneticPr fontId="2" type="noConversion"/>
  </si>
  <si>
    <t>1-640721-0</t>
    <phoneticPr fontId="2" type="noConversion"/>
  </si>
  <si>
    <t>1-640721-0</t>
    <phoneticPr fontId="2" type="noConversion"/>
  </si>
  <si>
    <t>46495K25</t>
  </si>
  <si>
    <t>46495K25</t>
    <phoneticPr fontId="2" type="noConversion"/>
  </si>
  <si>
    <t>GS-C-EPDM-1.5S</t>
    <phoneticPr fontId="2" type="noConversion"/>
  </si>
  <si>
    <t>NICELABEL  900001200</t>
    <phoneticPr fontId="2" type="noConversion"/>
  </si>
  <si>
    <t>AXCELIS</t>
  </si>
  <si>
    <t>BS 8251 0/PG9</t>
    <phoneticPr fontId="2" type="noConversion"/>
  </si>
  <si>
    <t>-</t>
    <phoneticPr fontId="2" type="noConversion"/>
  </si>
  <si>
    <t>최소단가 선정(SUPERLOK)</t>
    <phoneticPr fontId="2" type="noConversion"/>
  </si>
  <si>
    <t>190002900-1</t>
    <phoneticPr fontId="2" type="noConversion"/>
  </si>
  <si>
    <t>PARKER</t>
  </si>
  <si>
    <t>MISUMI</t>
  </si>
  <si>
    <t>DIXON VALVE</t>
  </si>
  <si>
    <t>INVISOR</t>
  </si>
  <si>
    <t>HELLERMANNTYTON</t>
  </si>
  <si>
    <t>33482-12-12C</t>
    <phoneticPr fontId="2" type="noConversion"/>
  </si>
  <si>
    <t>ATA-06 (91420)</t>
    <phoneticPr fontId="2" type="noConversion"/>
  </si>
  <si>
    <t>801-12-RED</t>
    <phoneticPr fontId="2" type="noConversion"/>
  </si>
  <si>
    <t>33482-12-12C</t>
    <phoneticPr fontId="2" type="noConversion"/>
  </si>
  <si>
    <t>801-12-BLU</t>
    <phoneticPr fontId="2" type="noConversion"/>
  </si>
  <si>
    <r>
      <t>PRESSURE SENSOR SPAU-P10R-T-R14M-L-PNLK-PNVBA-M12D</t>
    </r>
    <r>
      <rPr>
        <b/>
        <sz val="10"/>
        <color indexed="10"/>
        <rFont val="맑은 고딕"/>
        <family val="3"/>
        <charset val="129"/>
        <scheme val="major"/>
      </rPr>
      <t/>
    </r>
    <phoneticPr fontId="2" type="noConversion"/>
  </si>
  <si>
    <t>백승빈</t>
    <phoneticPr fontId="2" type="noConversion"/>
  </si>
  <si>
    <t>백승빈</t>
    <phoneticPr fontId="2" type="noConversion"/>
  </si>
  <si>
    <t>백승빈</t>
    <phoneticPr fontId="2" type="noConversion"/>
  </si>
  <si>
    <t>박경성</t>
    <phoneticPr fontId="2" type="noConversion"/>
  </si>
  <si>
    <t>박경성</t>
    <phoneticPr fontId="2" type="noConversion"/>
  </si>
  <si>
    <t>김진호</t>
    <phoneticPr fontId="2" type="noConversion"/>
  </si>
  <si>
    <t>김진호</t>
    <phoneticPr fontId="2" type="noConversion"/>
  </si>
  <si>
    <t>김진호</t>
    <phoneticPr fontId="2" type="noConversion"/>
  </si>
  <si>
    <t>김진호</t>
    <phoneticPr fontId="2" type="noConversion"/>
  </si>
  <si>
    <t>김진호</t>
    <phoneticPr fontId="2" type="noConversion"/>
  </si>
  <si>
    <t>김진호</t>
    <phoneticPr fontId="2" type="noConversion"/>
  </si>
  <si>
    <t>(주)스웨즈락코리아FST</t>
    <phoneticPr fontId="2" type="noConversion"/>
  </si>
  <si>
    <t>최소단가 선정 → HYLOK 단종으로 스웨즈락으로 변경
(HYLOK)</t>
    <phoneticPr fontId="2" type="noConversion"/>
  </si>
  <si>
    <t xml:space="preserve">B2VH-4T-DV-L-Y-S316  (25년2월단종) 
SS-43GVS4-LL-YW </t>
    <phoneticPr fontId="2" type="noConversion"/>
  </si>
  <si>
    <t>HYLOK
SWAGELOK</t>
  </si>
  <si>
    <t>발주금액</t>
    <phoneticPr fontId="2" type="noConversion"/>
  </si>
  <si>
    <t>발주단가</t>
    <phoneticPr fontId="2" type="noConversion"/>
  </si>
  <si>
    <t>납기</t>
    <phoneticPr fontId="2" type="noConversion"/>
  </si>
  <si>
    <t>피에스디이</t>
    <phoneticPr fontId="2" type="noConversion"/>
  </si>
  <si>
    <t>피에스디이</t>
    <phoneticPr fontId="2" type="noConversion"/>
  </si>
  <si>
    <t>김민철</t>
    <phoneticPr fontId="2" type="noConversion"/>
  </si>
  <si>
    <t>김민철</t>
    <phoneticPr fontId="2" type="noConversion"/>
  </si>
  <si>
    <t>-</t>
    <phoneticPr fontId="2" type="noConversion"/>
  </si>
  <si>
    <t>-</t>
    <phoneticPr fontId="2" type="noConversion"/>
  </si>
  <si>
    <t>2개월(확인중)</t>
    <phoneticPr fontId="2" type="noConversion"/>
  </si>
  <si>
    <t>2개월(확인중)</t>
    <phoneticPr fontId="2" type="noConversion"/>
  </si>
  <si>
    <t>재확인필요</t>
    <phoneticPr fontId="2" type="noConversion"/>
  </si>
  <si>
    <t>김진호</t>
    <phoneticPr fontId="2" type="noConversion"/>
  </si>
  <si>
    <t>(주)지원테크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</si>
</sst>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44" formatCode="_-&quot;₩&quot;* #,##0.00_-;\-&quot;₩&quot;* #,##0.00_-;_-&quot;₩&quot;* &quot;-&quot;??_-;_-@_-"/>
    <numFmt numFmtId="26" formatCode="\$#,##0.00_);[Red]\(\$#,##0.00\)"/>
    <numFmt numFmtId="176" formatCode="_(* #,##0_);_(* \(#,##0\);_(* &quot;-&quot;_);_(@_)"/>
    <numFmt numFmtId="177" formatCode="\$#,##0.00"/>
    <numFmt numFmtId="178" formatCode="_-* #,##0.0_-;\-* #,##0.0_-;_-* &quot;-&quot;_-;_-@_-"/>
    <numFmt numFmtId="179" formatCode="m&quot;/&quot;d;@"/>
  </numFmts>
  <fonts count="17" x14ac:knownFonts="1">
    <font>
      <sz val="10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trike/>
      <sz val="1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trike/>
      <sz val="10"/>
      <color rgb="FFFF0000"/>
      <name val="맑은 고딕"/>
      <family val="3"/>
      <charset val="129"/>
      <scheme val="major"/>
    </font>
    <font>
      <sz val="10"/>
      <color indexed="10"/>
      <name val="맑은 고딕"/>
      <family val="3"/>
      <charset val="129"/>
      <scheme val="major"/>
    </font>
    <font>
      <b/>
      <sz val="10"/>
      <color indexed="10"/>
      <name val="맑은 고딕"/>
      <family val="3"/>
      <charset val="129"/>
      <scheme val="major"/>
    </font>
    <font>
      <sz val="8"/>
      <name val="맑은 고딕"/>
      <family val="3"/>
      <charset val="129"/>
    </font>
    <font>
      <sz val="10"/>
      <color indexed="40"/>
      <name val="맑은 고딕"/>
      <family val="3"/>
      <charset val="129"/>
      <scheme val="major"/>
    </font>
    <font>
      <sz val="10"/>
      <color indexed="30"/>
      <name val="맑은 고딕"/>
      <family val="3"/>
      <charset val="129"/>
      <scheme val="major"/>
    </font>
    <font>
      <sz val="10"/>
      <color rgb="FF0000FF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122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76" fontId="3" fillId="2" borderId="1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176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3" fillId="5" borderId="0" xfId="0" applyFont="1" applyFill="1" applyBorder="1"/>
    <xf numFmtId="176" fontId="3" fillId="0" borderId="0" xfId="0" applyNumberFormat="1" applyFont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0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4" fillId="7" borderId="1" xfId="0" applyFont="1" applyFill="1" applyBorder="1" applyAlignment="1">
      <alignment horizontal="center" vertical="center" wrapText="1"/>
    </xf>
    <xf numFmtId="176" fontId="3" fillId="8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5" borderId="1" xfId="0" applyFont="1" applyFill="1" applyBorder="1"/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176" fontId="3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horizontal="center" vertical="center"/>
    </xf>
    <xf numFmtId="176" fontId="8" fillId="9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/>
    <xf numFmtId="176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176" fontId="7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wrapText="1"/>
    </xf>
    <xf numFmtId="0" fontId="5" fillId="0" borderId="0" xfId="0" applyFont="1" applyFill="1" applyAlignment="1">
      <alignment horizontal="center"/>
    </xf>
    <xf numFmtId="0" fontId="7" fillId="0" borderId="0" xfId="0" applyFont="1" applyFill="1" applyAlignment="1">
      <alignment vertical="center"/>
    </xf>
    <xf numFmtId="176" fontId="3" fillId="0" borderId="1" xfId="0" applyNumberFormat="1" applyFont="1" applyBorder="1"/>
    <xf numFmtId="176" fontId="3" fillId="4" borderId="1" xfId="0" applyNumberFormat="1" applyFont="1" applyFill="1" applyBorder="1" applyAlignment="1">
      <alignment vertical="center"/>
    </xf>
    <xf numFmtId="176" fontId="3" fillId="0" borderId="1" xfId="0" applyNumberFormat="1" applyFont="1" applyFill="1" applyBorder="1" applyAlignment="1">
      <alignment vertical="center"/>
    </xf>
    <xf numFmtId="176" fontId="3" fillId="9" borderId="1" xfId="0" applyNumberFormat="1" applyFont="1" applyFill="1" applyBorder="1" applyAlignment="1">
      <alignment vertical="center"/>
    </xf>
    <xf numFmtId="176" fontId="3" fillId="5" borderId="1" xfId="0" applyNumberFormat="1" applyFont="1" applyFill="1" applyBorder="1" applyAlignment="1">
      <alignment vertical="center"/>
    </xf>
    <xf numFmtId="176" fontId="3" fillId="0" borderId="0" xfId="0" applyNumberFormat="1" applyFont="1" applyFill="1"/>
    <xf numFmtId="0" fontId="3" fillId="0" borderId="1" xfId="0" applyFont="1" applyBorder="1" applyAlignment="1">
      <alignment horizontal="left" wrapText="1"/>
    </xf>
    <xf numFmtId="0" fontId="3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wrapText="1"/>
    </xf>
    <xf numFmtId="0" fontId="8" fillId="9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horizontal="left" vertical="center" wrapText="1"/>
    </xf>
    <xf numFmtId="176" fontId="8" fillId="9" borderId="1" xfId="0" applyNumberFormat="1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44" fontId="3" fillId="0" borderId="1" xfId="0" applyNumberFormat="1" applyFont="1" applyFill="1" applyBorder="1" applyAlignment="1">
      <alignment vertical="center"/>
    </xf>
    <xf numFmtId="176" fontId="3" fillId="5" borderId="0" xfId="0" applyNumberFormat="1" applyFont="1" applyFill="1"/>
    <xf numFmtId="0" fontId="16" fillId="0" borderId="0" xfId="0" applyFont="1" applyFill="1" applyAlignment="1">
      <alignment horizontal="center" wrapText="1"/>
    </xf>
    <xf numFmtId="177" fontId="16" fillId="0" borderId="0" xfId="0" applyNumberFormat="1" applyFont="1" applyFill="1" applyAlignment="1">
      <alignment horizontal="center" vertical="center"/>
    </xf>
    <xf numFmtId="176" fontId="16" fillId="0" borderId="0" xfId="0" applyNumberFormat="1" applyFont="1" applyFill="1" applyAlignment="1">
      <alignment horizontal="center"/>
    </xf>
    <xf numFmtId="9" fontId="16" fillId="0" borderId="0" xfId="0" applyNumberFormat="1" applyFont="1" applyFill="1" applyAlignment="1">
      <alignment horizontal="center" vertical="center"/>
    </xf>
    <xf numFmtId="0" fontId="16" fillId="0" borderId="0" xfId="0" applyFont="1" applyFill="1" applyAlignment="1">
      <alignment horizontal="left" wrapText="1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/>
    </xf>
    <xf numFmtId="26" fontId="16" fillId="0" borderId="0" xfId="0" applyNumberFormat="1" applyFont="1" applyFill="1" applyAlignment="1">
      <alignment horizontal="center" vertical="center"/>
    </xf>
    <xf numFmtId="176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176" fontId="6" fillId="10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3" fillId="0" borderId="0" xfId="0" applyFont="1" applyFill="1" applyAlignment="1"/>
    <xf numFmtId="0" fontId="16" fillId="0" borderId="0" xfId="0" applyFont="1" applyFill="1" applyAlignment="1">
      <alignment wrapText="1"/>
    </xf>
    <xf numFmtId="41" fontId="3" fillId="0" borderId="1" xfId="1" applyFont="1" applyFill="1" applyBorder="1" applyAlignment="1">
      <alignment vertical="center"/>
    </xf>
    <xf numFmtId="41" fontId="3" fillId="0" borderId="1" xfId="1" applyFont="1" applyBorder="1" applyAlignment="1"/>
    <xf numFmtId="41" fontId="3" fillId="8" borderId="1" xfId="1" applyFont="1" applyFill="1" applyBorder="1" applyAlignment="1">
      <alignment horizontal="center" vertical="center"/>
    </xf>
    <xf numFmtId="41" fontId="3" fillId="4" borderId="1" xfId="1" applyFont="1" applyFill="1" applyBorder="1" applyAlignment="1">
      <alignment vertical="center"/>
    </xf>
    <xf numFmtId="41" fontId="3" fillId="9" borderId="1" xfId="1" applyFont="1" applyFill="1" applyBorder="1" applyAlignment="1">
      <alignment vertical="center"/>
    </xf>
    <xf numFmtId="41" fontId="3" fillId="5" borderId="1" xfId="1" applyFont="1" applyFill="1" applyBorder="1" applyAlignment="1">
      <alignment vertical="center"/>
    </xf>
    <xf numFmtId="41" fontId="3" fillId="0" borderId="0" xfId="1" applyFont="1" applyFill="1" applyAlignment="1"/>
    <xf numFmtId="0" fontId="6" fillId="10" borderId="1" xfId="0" applyFont="1" applyFill="1" applyBorder="1" applyAlignment="1">
      <alignment horizontal="center" vertical="center" wrapText="1"/>
    </xf>
    <xf numFmtId="178" fontId="3" fillId="0" borderId="1" xfId="1" applyNumberFormat="1" applyFont="1" applyFill="1" applyBorder="1" applyAlignment="1">
      <alignment vertical="center"/>
    </xf>
    <xf numFmtId="178" fontId="3" fillId="5" borderId="1" xfId="1" applyNumberFormat="1" applyFont="1" applyFill="1" applyBorder="1" applyAlignment="1">
      <alignment vertical="center"/>
    </xf>
    <xf numFmtId="14" fontId="3" fillId="0" borderId="0" xfId="0" applyNumberFormat="1" applyFont="1" applyFill="1"/>
    <xf numFmtId="14" fontId="3" fillId="0" borderId="0" xfId="0" applyNumberFormat="1" applyFont="1" applyFill="1" applyAlignment="1">
      <alignment vertical="center"/>
    </xf>
    <xf numFmtId="14" fontId="3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vertical="center"/>
    </xf>
    <xf numFmtId="41" fontId="3" fillId="0" borderId="0" xfId="0" applyNumberFormat="1" applyFont="1" applyFill="1" applyAlignment="1">
      <alignment vertical="center"/>
    </xf>
    <xf numFmtId="0" fontId="3" fillId="0" borderId="1" xfId="0" applyFont="1" applyBorder="1" applyAlignment="1">
      <alignment horizontal="center"/>
    </xf>
    <xf numFmtId="179" fontId="3" fillId="0" borderId="1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23" Type="http://schemas.microsoft.com/office/2017/10/relationships/person" Target="persons/person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320"/>
  <sheetViews>
    <sheetView showGridLines="0" zoomScale="85" zoomScaleNormal="85" workbookViewId="0">
      <pane xSplit="10" ySplit="2" topLeftCell="K132" activePane="bottomRight" state="frozen"/>
      <selection pane="topRight" activeCell="F1" sqref="F1"/>
      <selection pane="bottomLeft" activeCell="A2" sqref="A2"/>
      <selection pane="bottomRight" activeCell="D106" sqref="D106"/>
    </sheetView>
  </sheetViews>
  <sheetFormatPr defaultRowHeight="13.5" x14ac:dyDescent="0.25"/>
  <cols>
    <col min="1" max="1" width="4.28515625" style="5" customWidth="1"/>
    <col min="2" max="2" width="10.5703125" style="14" bestFit="1" customWidth="1"/>
    <col min="3" max="3" width="10.7109375" style="6" customWidth="1"/>
    <col min="4" max="4" width="16.42578125" style="6" bestFit="1" customWidth="1"/>
    <col min="5" max="5" width="16.42578125" style="6" hidden="1" customWidth="1"/>
    <col min="6" max="6" width="11" style="6" customWidth="1"/>
    <col min="7" max="7" width="15" style="6" bestFit="1" customWidth="1"/>
    <col min="8" max="8" width="15" style="6" customWidth="1"/>
    <col min="9" max="9" width="48.85546875" style="6" bestFit="1" customWidth="1"/>
    <col min="10" max="10" width="66" style="6" bestFit="1" customWidth="1"/>
    <col min="11" max="12" width="6.7109375" style="6" customWidth="1"/>
    <col min="13" max="13" width="15.140625" style="6" bestFit="1" customWidth="1"/>
    <col min="14" max="14" width="7" style="6" customWidth="1"/>
    <col min="15" max="15" width="12.28515625" style="6" bestFit="1" customWidth="1"/>
    <col min="16" max="16" width="21.140625" style="6" customWidth="1"/>
    <col min="17" max="17" width="9.85546875" style="6" customWidth="1"/>
    <col min="18" max="18" width="11.140625" style="6" customWidth="1"/>
    <col min="19" max="16384" width="9.140625" style="5"/>
  </cols>
  <sheetData>
    <row r="1" spans="2:18" x14ac:dyDescent="0.25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404</v>
      </c>
      <c r="R1" s="1"/>
    </row>
    <row r="2" spans="2:18" s="1" customFormat="1" x14ac:dyDescent="0.2">
      <c r="B2" s="9" t="s">
        <v>345</v>
      </c>
      <c r="C2" s="10" t="s">
        <v>0</v>
      </c>
      <c r="D2" s="10" t="s">
        <v>1</v>
      </c>
      <c r="E2" s="10" t="s">
        <v>406</v>
      </c>
      <c r="F2" s="10" t="s">
        <v>2</v>
      </c>
      <c r="G2" s="10" t="s">
        <v>3</v>
      </c>
      <c r="H2" s="21" t="s">
        <v>497</v>
      </c>
      <c r="I2" s="21" t="s">
        <v>503</v>
      </c>
      <c r="J2" s="10" t="s">
        <v>4</v>
      </c>
      <c r="K2" s="10" t="s">
        <v>5</v>
      </c>
      <c r="L2" s="10" t="s">
        <v>6</v>
      </c>
      <c r="M2" s="10" t="s">
        <v>7</v>
      </c>
      <c r="N2" s="10" t="s">
        <v>364</v>
      </c>
      <c r="O2" s="10" t="s">
        <v>8</v>
      </c>
      <c r="P2" s="10" t="s">
        <v>9</v>
      </c>
      <c r="Q2" s="10" t="s">
        <v>405</v>
      </c>
      <c r="R2" s="10" t="s">
        <v>392</v>
      </c>
    </row>
    <row r="3" spans="2:18" s="2" customFormat="1" ht="18" customHeight="1" x14ac:dyDescent="0.2">
      <c r="B3" s="15">
        <v>1</v>
      </c>
      <c r="C3" s="11" t="s">
        <v>10</v>
      </c>
      <c r="D3" s="11">
        <v>110029750</v>
      </c>
      <c r="E3" s="20" t="str">
        <f t="shared" ref="E3:E34" si="0">TRIM(D3)</f>
        <v>110029750</v>
      </c>
      <c r="F3" s="11" t="s">
        <v>11</v>
      </c>
      <c r="G3" s="11" t="s">
        <v>12</v>
      </c>
      <c r="H3" s="11" t="s">
        <v>407</v>
      </c>
      <c r="I3" s="11"/>
      <c r="J3" s="11" t="s">
        <v>13</v>
      </c>
      <c r="K3" s="11" t="s">
        <v>14</v>
      </c>
      <c r="L3" s="11" t="s">
        <v>14</v>
      </c>
      <c r="M3" s="11"/>
      <c r="N3" s="11"/>
      <c r="O3" s="11" t="s">
        <v>15</v>
      </c>
      <c r="P3" s="11"/>
      <c r="Q3" s="11" t="s">
        <v>354</v>
      </c>
      <c r="R3" s="11" t="s">
        <v>354</v>
      </c>
    </row>
    <row r="4" spans="2:18" s="2" customFormat="1" ht="18" customHeight="1" x14ac:dyDescent="0.2">
      <c r="B4" s="12">
        <f t="shared" ref="B4:B18" si="1">B3+1</f>
        <v>2</v>
      </c>
      <c r="C4" s="3" t="s">
        <v>16</v>
      </c>
      <c r="D4" s="3" t="s">
        <v>391</v>
      </c>
      <c r="E4" s="20" t="str">
        <f t="shared" si="0"/>
        <v>0581-0008-0207</v>
      </c>
      <c r="F4" s="3" t="s">
        <v>11</v>
      </c>
      <c r="G4" s="3" t="s">
        <v>17</v>
      </c>
      <c r="H4" s="20" t="s">
        <v>408</v>
      </c>
      <c r="I4" s="20"/>
      <c r="J4" s="3" t="s">
        <v>372</v>
      </c>
      <c r="K4" s="3" t="s">
        <v>14</v>
      </c>
      <c r="L4" s="3"/>
      <c r="M4" s="3" t="s">
        <v>18</v>
      </c>
      <c r="N4" s="3">
        <v>2</v>
      </c>
      <c r="O4" s="3" t="s">
        <v>15</v>
      </c>
      <c r="P4" s="3"/>
      <c r="Q4" s="3" t="s">
        <v>395</v>
      </c>
      <c r="R4" s="3" t="s">
        <v>346</v>
      </c>
    </row>
    <row r="5" spans="2:18" s="2" customFormat="1" ht="18" customHeight="1" x14ac:dyDescent="0.2">
      <c r="B5" s="15">
        <f t="shared" si="1"/>
        <v>3</v>
      </c>
      <c r="C5" s="11" t="s">
        <v>16</v>
      </c>
      <c r="D5" s="11">
        <v>100014570</v>
      </c>
      <c r="E5" s="20" t="str">
        <f t="shared" si="0"/>
        <v>100014570</v>
      </c>
      <c r="F5" s="11" t="s">
        <v>11</v>
      </c>
      <c r="G5" s="11" t="s">
        <v>19</v>
      </c>
      <c r="H5" s="11" t="s">
        <v>409</v>
      </c>
      <c r="I5" s="11"/>
      <c r="J5" s="11" t="s">
        <v>20</v>
      </c>
      <c r="K5" s="11" t="s">
        <v>14</v>
      </c>
      <c r="L5" s="11"/>
      <c r="M5" s="11" t="s">
        <v>21</v>
      </c>
      <c r="N5" s="11">
        <v>1</v>
      </c>
      <c r="O5" s="11" t="s">
        <v>15</v>
      </c>
      <c r="P5" s="11"/>
      <c r="Q5" s="11" t="s">
        <v>373</v>
      </c>
      <c r="R5" s="11" t="s">
        <v>373</v>
      </c>
    </row>
    <row r="6" spans="2:18" s="2" customFormat="1" ht="18" customHeight="1" x14ac:dyDescent="0.2">
      <c r="B6" s="12">
        <f t="shared" si="1"/>
        <v>4</v>
      </c>
      <c r="C6" s="3" t="s">
        <v>22</v>
      </c>
      <c r="D6" s="3">
        <v>180000572</v>
      </c>
      <c r="E6" s="20" t="str">
        <f t="shared" si="0"/>
        <v>180000572</v>
      </c>
      <c r="F6" s="3" t="s">
        <v>11</v>
      </c>
      <c r="G6" s="3" t="s">
        <v>23</v>
      </c>
      <c r="H6" s="20" t="s">
        <v>410</v>
      </c>
      <c r="I6" s="20"/>
      <c r="J6" s="3" t="s">
        <v>343</v>
      </c>
      <c r="K6" s="3" t="s">
        <v>24</v>
      </c>
      <c r="L6" s="3"/>
      <c r="M6" s="3" t="s">
        <v>25</v>
      </c>
      <c r="N6" s="3">
        <v>0</v>
      </c>
      <c r="O6" s="3" t="s">
        <v>15</v>
      </c>
      <c r="P6" s="3"/>
      <c r="Q6" s="3" t="s">
        <v>393</v>
      </c>
      <c r="R6" s="3" t="s">
        <v>344</v>
      </c>
    </row>
    <row r="7" spans="2:18" s="2" customFormat="1" ht="18" customHeight="1" x14ac:dyDescent="0.2">
      <c r="B7" s="12">
        <f t="shared" si="1"/>
        <v>5</v>
      </c>
      <c r="C7" s="3" t="s">
        <v>22</v>
      </c>
      <c r="D7" s="3">
        <v>190002900</v>
      </c>
      <c r="E7" s="20" t="str">
        <f t="shared" si="0"/>
        <v>190002900</v>
      </c>
      <c r="F7" s="3" t="s">
        <v>11</v>
      </c>
      <c r="G7" s="3" t="s">
        <v>26</v>
      </c>
      <c r="H7" s="20" t="s">
        <v>411</v>
      </c>
      <c r="I7" s="20"/>
      <c r="J7" s="3" t="s">
        <v>27</v>
      </c>
      <c r="K7" s="3" t="s">
        <v>28</v>
      </c>
      <c r="L7" s="3"/>
      <c r="M7" s="3" t="s">
        <v>21</v>
      </c>
      <c r="N7" s="3">
        <v>1</v>
      </c>
      <c r="O7" s="3" t="s">
        <v>15</v>
      </c>
      <c r="P7" s="3"/>
      <c r="Q7" s="3" t="s">
        <v>402</v>
      </c>
      <c r="R7" s="3" t="s">
        <v>346</v>
      </c>
    </row>
    <row r="8" spans="2:18" s="2" customFormat="1" ht="18" customHeight="1" x14ac:dyDescent="0.2">
      <c r="B8" s="12">
        <f t="shared" si="1"/>
        <v>6</v>
      </c>
      <c r="C8" s="3" t="s">
        <v>22</v>
      </c>
      <c r="D8" s="3">
        <v>190002920</v>
      </c>
      <c r="E8" s="20" t="str">
        <f t="shared" si="0"/>
        <v>190002920</v>
      </c>
      <c r="F8" s="3" t="s">
        <v>11</v>
      </c>
      <c r="G8" s="3" t="s">
        <v>29</v>
      </c>
      <c r="H8" s="20" t="s">
        <v>412</v>
      </c>
      <c r="I8" s="20"/>
      <c r="J8" s="3" t="s">
        <v>30</v>
      </c>
      <c r="K8" s="3" t="s">
        <v>31</v>
      </c>
      <c r="L8" s="3"/>
      <c r="M8" s="3" t="s">
        <v>21</v>
      </c>
      <c r="N8" s="3">
        <v>1</v>
      </c>
      <c r="O8" s="3" t="s">
        <v>15</v>
      </c>
      <c r="P8" s="3"/>
      <c r="Q8" s="3" t="s">
        <v>395</v>
      </c>
      <c r="R8" s="3" t="s">
        <v>346</v>
      </c>
    </row>
    <row r="9" spans="2:18" s="2" customFormat="1" ht="18" customHeight="1" x14ac:dyDescent="0.2">
      <c r="B9" s="8">
        <f t="shared" si="1"/>
        <v>7</v>
      </c>
      <c r="C9" s="4" t="s">
        <v>16</v>
      </c>
      <c r="D9" s="4">
        <v>100210965</v>
      </c>
      <c r="E9" s="20" t="str">
        <f t="shared" si="0"/>
        <v>100210965</v>
      </c>
      <c r="F9" s="4" t="s">
        <v>11</v>
      </c>
      <c r="G9" s="4" t="s">
        <v>32</v>
      </c>
      <c r="H9" s="4" t="s">
        <v>413</v>
      </c>
      <c r="I9" s="4"/>
      <c r="J9" s="4" t="s">
        <v>363</v>
      </c>
      <c r="K9" s="4" t="s">
        <v>14</v>
      </c>
      <c r="L9" s="4"/>
      <c r="M9" s="4" t="s">
        <v>33</v>
      </c>
      <c r="N9" s="4">
        <v>0</v>
      </c>
      <c r="O9" s="4" t="s">
        <v>15</v>
      </c>
      <c r="P9" s="4"/>
      <c r="Q9" s="4" t="s">
        <v>398</v>
      </c>
      <c r="R9" s="4" t="s">
        <v>374</v>
      </c>
    </row>
    <row r="10" spans="2:18" s="2" customFormat="1" ht="18" customHeight="1" x14ac:dyDescent="0.2">
      <c r="B10" s="8">
        <f t="shared" si="1"/>
        <v>8</v>
      </c>
      <c r="C10" s="4" t="s">
        <v>22</v>
      </c>
      <c r="D10" s="4">
        <v>100210964</v>
      </c>
      <c r="E10" s="20" t="str">
        <f t="shared" si="0"/>
        <v>100210964</v>
      </c>
      <c r="F10" s="4" t="s">
        <v>11</v>
      </c>
      <c r="G10" s="4" t="s">
        <v>34</v>
      </c>
      <c r="H10" s="4"/>
      <c r="I10" s="4"/>
      <c r="J10" s="4" t="s">
        <v>35</v>
      </c>
      <c r="K10" s="4" t="s">
        <v>14</v>
      </c>
      <c r="L10" s="4"/>
      <c r="M10" s="4" t="s">
        <v>33</v>
      </c>
      <c r="N10" s="4">
        <v>0</v>
      </c>
      <c r="O10" s="4" t="s">
        <v>15</v>
      </c>
      <c r="P10" s="4"/>
      <c r="Q10" s="4" t="s">
        <v>398</v>
      </c>
      <c r="R10" s="4" t="s">
        <v>374</v>
      </c>
    </row>
    <row r="11" spans="2:18" s="2" customFormat="1" ht="18" customHeight="1" x14ac:dyDescent="0.2">
      <c r="B11" s="8">
        <f t="shared" si="1"/>
        <v>9</v>
      </c>
      <c r="C11" s="4" t="s">
        <v>36</v>
      </c>
      <c r="D11" s="4">
        <v>860210837</v>
      </c>
      <c r="E11" s="20" t="str">
        <f t="shared" si="0"/>
        <v>860210837</v>
      </c>
      <c r="F11" s="4" t="s">
        <v>11</v>
      </c>
      <c r="G11" s="4" t="s">
        <v>23</v>
      </c>
      <c r="H11" s="4"/>
      <c r="I11" s="4"/>
      <c r="J11" s="4" t="s">
        <v>37</v>
      </c>
      <c r="K11" s="4" t="s">
        <v>14</v>
      </c>
      <c r="L11" s="4"/>
      <c r="M11" s="4" t="s">
        <v>21</v>
      </c>
      <c r="N11" s="4">
        <v>1</v>
      </c>
      <c r="O11" s="4" t="s">
        <v>38</v>
      </c>
      <c r="P11" s="4"/>
      <c r="Q11" s="4" t="s">
        <v>401</v>
      </c>
      <c r="R11" s="4" t="s">
        <v>374</v>
      </c>
    </row>
    <row r="12" spans="2:18" s="2" customFormat="1" ht="18" customHeight="1" x14ac:dyDescent="0.2">
      <c r="B12" s="8">
        <f t="shared" si="1"/>
        <v>10</v>
      </c>
      <c r="C12" s="4" t="s">
        <v>22</v>
      </c>
      <c r="D12" s="4">
        <v>100210966</v>
      </c>
      <c r="E12" s="20" t="str">
        <f t="shared" si="0"/>
        <v>100210966</v>
      </c>
      <c r="F12" s="4" t="s">
        <v>11</v>
      </c>
      <c r="G12" s="4" t="s">
        <v>39</v>
      </c>
      <c r="H12" s="4"/>
      <c r="I12" s="4"/>
      <c r="J12" s="4" t="s">
        <v>40</v>
      </c>
      <c r="K12" s="4" t="s">
        <v>14</v>
      </c>
      <c r="L12" s="4"/>
      <c r="M12" s="4" t="s">
        <v>33</v>
      </c>
      <c r="N12" s="4">
        <v>0</v>
      </c>
      <c r="O12" s="4" t="s">
        <v>15</v>
      </c>
      <c r="P12" s="4"/>
      <c r="Q12" s="4" t="s">
        <v>399</v>
      </c>
      <c r="R12" s="4" t="s">
        <v>374</v>
      </c>
    </row>
    <row r="13" spans="2:18" s="2" customFormat="1" ht="18" customHeight="1" x14ac:dyDescent="0.2">
      <c r="B13" s="8">
        <f t="shared" si="1"/>
        <v>11</v>
      </c>
      <c r="C13" s="4" t="s">
        <v>36</v>
      </c>
      <c r="D13" s="4">
        <v>860210837</v>
      </c>
      <c r="E13" s="20" t="str">
        <f t="shared" si="0"/>
        <v>860210837</v>
      </c>
      <c r="F13" s="4" t="s">
        <v>11</v>
      </c>
      <c r="G13" s="4" t="s">
        <v>23</v>
      </c>
      <c r="H13" s="4"/>
      <c r="I13" s="4"/>
      <c r="J13" s="4" t="s">
        <v>37</v>
      </c>
      <c r="K13" s="4" t="s">
        <v>14</v>
      </c>
      <c r="L13" s="4"/>
      <c r="M13" s="4" t="s">
        <v>21</v>
      </c>
      <c r="N13" s="4">
        <v>1</v>
      </c>
      <c r="O13" s="4" t="s">
        <v>38</v>
      </c>
      <c r="P13" s="4"/>
      <c r="Q13" s="4" t="s">
        <v>399</v>
      </c>
      <c r="R13" s="4" t="s">
        <v>374</v>
      </c>
    </row>
    <row r="14" spans="2:18" s="2" customFormat="1" ht="18" customHeight="1" x14ac:dyDescent="0.2">
      <c r="B14" s="8">
        <f t="shared" si="1"/>
        <v>12</v>
      </c>
      <c r="C14" s="4" t="s">
        <v>22</v>
      </c>
      <c r="D14" s="4">
        <v>100210967</v>
      </c>
      <c r="E14" s="20" t="str">
        <f t="shared" si="0"/>
        <v>100210967</v>
      </c>
      <c r="F14" s="4" t="s">
        <v>11</v>
      </c>
      <c r="G14" s="4" t="s">
        <v>39</v>
      </c>
      <c r="H14" s="4"/>
      <c r="I14" s="4"/>
      <c r="J14" s="4" t="s">
        <v>41</v>
      </c>
      <c r="K14" s="4" t="s">
        <v>14</v>
      </c>
      <c r="L14" s="4"/>
      <c r="M14" s="4" t="s">
        <v>33</v>
      </c>
      <c r="N14" s="4">
        <v>0</v>
      </c>
      <c r="O14" s="4" t="s">
        <v>15</v>
      </c>
      <c r="P14" s="4"/>
      <c r="Q14" s="4" t="s">
        <v>399</v>
      </c>
      <c r="R14" s="4" t="s">
        <v>374</v>
      </c>
    </row>
    <row r="15" spans="2:18" s="2" customFormat="1" ht="18" customHeight="1" x14ac:dyDescent="0.2">
      <c r="B15" s="8">
        <f t="shared" si="1"/>
        <v>13</v>
      </c>
      <c r="C15" s="4" t="s">
        <v>36</v>
      </c>
      <c r="D15" s="4">
        <v>860210837</v>
      </c>
      <c r="E15" s="20" t="str">
        <f t="shared" si="0"/>
        <v>860210837</v>
      </c>
      <c r="F15" s="4" t="s">
        <v>11</v>
      </c>
      <c r="G15" s="4" t="s">
        <v>23</v>
      </c>
      <c r="H15" s="4"/>
      <c r="I15" s="4"/>
      <c r="J15" s="4" t="s">
        <v>37</v>
      </c>
      <c r="K15" s="4" t="s">
        <v>14</v>
      </c>
      <c r="L15" s="4"/>
      <c r="M15" s="4" t="s">
        <v>21</v>
      </c>
      <c r="N15" s="4">
        <v>1</v>
      </c>
      <c r="O15" s="4" t="s">
        <v>38</v>
      </c>
      <c r="P15" s="4"/>
      <c r="Q15" s="4" t="s">
        <v>399</v>
      </c>
      <c r="R15" s="4" t="s">
        <v>374</v>
      </c>
    </row>
    <row r="16" spans="2:18" s="2" customFormat="1" ht="18" customHeight="1" x14ac:dyDescent="0.2">
      <c r="B16" s="8">
        <f t="shared" si="1"/>
        <v>14</v>
      </c>
      <c r="C16" s="4" t="s">
        <v>22</v>
      </c>
      <c r="D16" s="4">
        <v>100210968</v>
      </c>
      <c r="E16" s="20" t="str">
        <f t="shared" si="0"/>
        <v>100210968</v>
      </c>
      <c r="F16" s="4" t="s">
        <v>11</v>
      </c>
      <c r="G16" s="4" t="s">
        <v>39</v>
      </c>
      <c r="H16" s="4"/>
      <c r="I16" s="4"/>
      <c r="J16" s="4" t="s">
        <v>42</v>
      </c>
      <c r="K16" s="4" t="s">
        <v>14</v>
      </c>
      <c r="L16" s="4"/>
      <c r="M16" s="4" t="s">
        <v>33</v>
      </c>
      <c r="N16" s="4">
        <v>0</v>
      </c>
      <c r="O16" s="4" t="s">
        <v>15</v>
      </c>
      <c r="P16" s="4"/>
      <c r="Q16" s="4" t="s">
        <v>399</v>
      </c>
      <c r="R16" s="4" t="s">
        <v>374</v>
      </c>
    </row>
    <row r="17" spans="2:18" s="2" customFormat="1" ht="18" customHeight="1" x14ac:dyDescent="0.2">
      <c r="B17" s="8">
        <f t="shared" si="1"/>
        <v>15</v>
      </c>
      <c r="C17" s="4" t="s">
        <v>36</v>
      </c>
      <c r="D17" s="4">
        <v>860210837</v>
      </c>
      <c r="E17" s="20" t="str">
        <f t="shared" si="0"/>
        <v>860210837</v>
      </c>
      <c r="F17" s="4" t="s">
        <v>11</v>
      </c>
      <c r="G17" s="4" t="s">
        <v>23</v>
      </c>
      <c r="H17" s="4"/>
      <c r="I17" s="4"/>
      <c r="J17" s="4" t="s">
        <v>37</v>
      </c>
      <c r="K17" s="4" t="s">
        <v>14</v>
      </c>
      <c r="L17" s="4"/>
      <c r="M17" s="4" t="s">
        <v>21</v>
      </c>
      <c r="N17" s="4">
        <v>1</v>
      </c>
      <c r="O17" s="4" t="s">
        <v>38</v>
      </c>
      <c r="P17" s="4"/>
      <c r="Q17" s="4" t="s">
        <v>399</v>
      </c>
      <c r="R17" s="4" t="s">
        <v>374</v>
      </c>
    </row>
    <row r="18" spans="2:18" s="2" customFormat="1" ht="18" customHeight="1" x14ac:dyDescent="0.2">
      <c r="B18" s="19">
        <f t="shared" si="1"/>
        <v>16</v>
      </c>
      <c r="C18" s="18" t="s">
        <v>16</v>
      </c>
      <c r="D18" s="18">
        <v>110036930</v>
      </c>
      <c r="E18" s="20" t="str">
        <f t="shared" si="0"/>
        <v>110036930</v>
      </c>
      <c r="F18" s="18" t="s">
        <v>11</v>
      </c>
      <c r="G18" s="27" t="s">
        <v>43</v>
      </c>
      <c r="H18" s="27" t="s">
        <v>414</v>
      </c>
      <c r="I18" s="18" t="s">
        <v>504</v>
      </c>
      <c r="J18" s="18" t="s">
        <v>44</v>
      </c>
      <c r="K18" s="18" t="s">
        <v>14</v>
      </c>
      <c r="L18" s="18"/>
      <c r="M18" s="18" t="s">
        <v>21</v>
      </c>
      <c r="N18" s="18">
        <v>1</v>
      </c>
      <c r="O18" s="18" t="s">
        <v>38</v>
      </c>
      <c r="P18" s="18"/>
      <c r="Q18" s="18" t="s">
        <v>354</v>
      </c>
      <c r="R18" s="18" t="s">
        <v>354</v>
      </c>
    </row>
    <row r="19" spans="2:18" s="2" customFormat="1" ht="18" customHeight="1" x14ac:dyDescent="0.2">
      <c r="B19" s="19" t="str">
        <f>"16-1"</f>
        <v>16-1</v>
      </c>
      <c r="C19" s="18">
        <v>2</v>
      </c>
      <c r="D19" s="18">
        <v>100213515</v>
      </c>
      <c r="E19" s="20" t="str">
        <f t="shared" si="0"/>
        <v>100213515</v>
      </c>
      <c r="F19" s="18" t="s">
        <v>11</v>
      </c>
      <c r="G19" s="18"/>
      <c r="H19" s="23" t="s">
        <v>500</v>
      </c>
      <c r="I19" s="23" t="s">
        <v>505</v>
      </c>
      <c r="J19" s="18" t="s">
        <v>496</v>
      </c>
      <c r="K19" s="18"/>
      <c r="L19" s="18"/>
      <c r="M19" s="18" t="s">
        <v>33</v>
      </c>
      <c r="N19" s="18"/>
      <c r="O19" s="18"/>
      <c r="P19" s="18"/>
      <c r="Q19" s="18"/>
      <c r="R19" s="18"/>
    </row>
    <row r="20" spans="2:18" s="2" customFormat="1" ht="18" customHeight="1" x14ac:dyDescent="0.2">
      <c r="B20" s="19" t="str">
        <f>"16-2"</f>
        <v>16-2</v>
      </c>
      <c r="C20" s="18">
        <v>3</v>
      </c>
      <c r="D20" s="22" t="s">
        <v>498</v>
      </c>
      <c r="E20" s="20" t="str">
        <f t="shared" si="0"/>
        <v>600001344</v>
      </c>
      <c r="F20" s="18" t="s">
        <v>11</v>
      </c>
      <c r="G20" s="18"/>
      <c r="H20" s="23" t="s">
        <v>500</v>
      </c>
      <c r="I20" s="23" t="s">
        <v>522</v>
      </c>
      <c r="J20" s="23" t="s">
        <v>501</v>
      </c>
      <c r="K20" s="18"/>
      <c r="L20" s="18"/>
      <c r="M20" s="18" t="s">
        <v>33</v>
      </c>
      <c r="N20" s="18"/>
      <c r="O20" s="18"/>
      <c r="P20" s="18"/>
      <c r="Q20" s="18"/>
      <c r="R20" s="18"/>
    </row>
    <row r="21" spans="2:18" s="2" customFormat="1" ht="18" customHeight="1" x14ac:dyDescent="0.2">
      <c r="B21" s="19" t="str">
        <f>"16-3"</f>
        <v>16-3</v>
      </c>
      <c r="C21" s="18">
        <v>3</v>
      </c>
      <c r="D21" s="22" t="s">
        <v>499</v>
      </c>
      <c r="E21" s="20" t="str">
        <f t="shared" si="0"/>
        <v>860213518</v>
      </c>
      <c r="F21" s="18" t="s">
        <v>11</v>
      </c>
      <c r="G21" s="18"/>
      <c r="H21" s="23" t="s">
        <v>500</v>
      </c>
      <c r="I21" s="23" t="s">
        <v>522</v>
      </c>
      <c r="J21" s="23" t="s">
        <v>502</v>
      </c>
      <c r="K21" s="18"/>
      <c r="L21" s="18"/>
      <c r="M21" s="18" t="s">
        <v>33</v>
      </c>
      <c r="N21" s="18"/>
      <c r="O21" s="18"/>
      <c r="P21" s="18"/>
      <c r="Q21" s="18"/>
      <c r="R21" s="18"/>
    </row>
    <row r="22" spans="2:18" s="2" customFormat="1" ht="18" customHeight="1" x14ac:dyDescent="0.2">
      <c r="B22" s="15">
        <f>B18+1</f>
        <v>17</v>
      </c>
      <c r="C22" s="11" t="s">
        <v>22</v>
      </c>
      <c r="D22" s="11">
        <v>120213846</v>
      </c>
      <c r="E22" s="20" t="str">
        <f t="shared" si="0"/>
        <v>120213846</v>
      </c>
      <c r="F22" s="11" t="s">
        <v>11</v>
      </c>
      <c r="G22" s="11" t="s">
        <v>45</v>
      </c>
      <c r="H22" s="11" t="s">
        <v>415</v>
      </c>
      <c r="I22" s="11"/>
      <c r="J22" s="11" t="s">
        <v>46</v>
      </c>
      <c r="K22" s="11" t="s">
        <v>14</v>
      </c>
      <c r="L22" s="11"/>
      <c r="M22" s="11" t="s">
        <v>21</v>
      </c>
      <c r="N22" s="11">
        <v>1</v>
      </c>
      <c r="O22" s="11" t="s">
        <v>15</v>
      </c>
      <c r="P22" s="11"/>
      <c r="Q22" s="11" t="s">
        <v>354</v>
      </c>
      <c r="R22" s="11" t="s">
        <v>354</v>
      </c>
    </row>
    <row r="23" spans="2:18" s="2" customFormat="1" ht="18" customHeight="1" x14ac:dyDescent="0.2">
      <c r="B23" s="15">
        <f t="shared" ref="B23:B44" si="2">B22+1</f>
        <v>18</v>
      </c>
      <c r="C23" s="11" t="s">
        <v>36</v>
      </c>
      <c r="D23" s="11">
        <v>120213350</v>
      </c>
      <c r="E23" s="20" t="str">
        <f t="shared" si="0"/>
        <v>120213350</v>
      </c>
      <c r="F23" s="11" t="s">
        <v>11</v>
      </c>
      <c r="G23" s="11" t="s">
        <v>47</v>
      </c>
      <c r="H23" s="11" t="s">
        <v>416</v>
      </c>
      <c r="I23" s="11"/>
      <c r="J23" s="11" t="s">
        <v>48</v>
      </c>
      <c r="K23" s="11" t="s">
        <v>14</v>
      </c>
      <c r="L23" s="11"/>
      <c r="M23" s="11" t="s">
        <v>21</v>
      </c>
      <c r="N23" s="11">
        <v>1</v>
      </c>
      <c r="O23" s="11" t="s">
        <v>15</v>
      </c>
      <c r="P23" s="11"/>
      <c r="Q23" s="11" t="s">
        <v>354</v>
      </c>
      <c r="R23" s="11" t="s">
        <v>365</v>
      </c>
    </row>
    <row r="24" spans="2:18" s="2" customFormat="1" ht="18" customHeight="1" x14ac:dyDescent="0.2">
      <c r="B24" s="12">
        <f t="shared" si="2"/>
        <v>19</v>
      </c>
      <c r="C24" s="3" t="s">
        <v>49</v>
      </c>
      <c r="D24" s="3">
        <v>230213252</v>
      </c>
      <c r="E24" s="20" t="str">
        <f t="shared" si="0"/>
        <v>230213252</v>
      </c>
      <c r="F24" s="3" t="s">
        <v>11</v>
      </c>
      <c r="G24" s="3" t="s">
        <v>50</v>
      </c>
      <c r="H24" s="20" t="s">
        <v>417</v>
      </c>
      <c r="I24" s="20"/>
      <c r="J24" s="3" t="s">
        <v>51</v>
      </c>
      <c r="K24" s="3" t="s">
        <v>14</v>
      </c>
      <c r="L24" s="3"/>
      <c r="M24" s="3" t="s">
        <v>21</v>
      </c>
      <c r="N24" s="3">
        <v>1</v>
      </c>
      <c r="O24" s="3" t="s">
        <v>15</v>
      </c>
      <c r="P24" s="3"/>
      <c r="Q24" s="3" t="s">
        <v>395</v>
      </c>
      <c r="R24" s="3" t="s">
        <v>346</v>
      </c>
    </row>
    <row r="25" spans="2:18" s="2" customFormat="1" ht="18" customHeight="1" x14ac:dyDescent="0.2">
      <c r="B25" s="12">
        <f t="shared" si="2"/>
        <v>20</v>
      </c>
      <c r="C25" s="3" t="s">
        <v>36</v>
      </c>
      <c r="D25" s="3">
        <v>4501116</v>
      </c>
      <c r="E25" s="20" t="str">
        <f t="shared" si="0"/>
        <v>4501116</v>
      </c>
      <c r="F25" s="3" t="s">
        <v>11</v>
      </c>
      <c r="G25" s="3" t="s">
        <v>34</v>
      </c>
      <c r="H25" s="20" t="s">
        <v>418</v>
      </c>
      <c r="I25" s="20"/>
      <c r="J25" s="3" t="s">
        <v>52</v>
      </c>
      <c r="K25" s="3" t="s">
        <v>14</v>
      </c>
      <c r="L25" s="3"/>
      <c r="M25" s="3" t="s">
        <v>18</v>
      </c>
      <c r="N25" s="3">
        <v>2</v>
      </c>
      <c r="O25" s="3" t="s">
        <v>15</v>
      </c>
      <c r="P25" s="3"/>
      <c r="Q25" s="3" t="s">
        <v>395</v>
      </c>
      <c r="R25" s="3" t="s">
        <v>375</v>
      </c>
    </row>
    <row r="26" spans="2:18" s="2" customFormat="1" ht="18" customHeight="1" x14ac:dyDescent="0.2">
      <c r="B26" s="12">
        <f t="shared" si="2"/>
        <v>21</v>
      </c>
      <c r="C26" s="3" t="s">
        <v>36</v>
      </c>
      <c r="D26" s="3">
        <v>510000152</v>
      </c>
      <c r="E26" s="20" t="str">
        <f t="shared" si="0"/>
        <v>510000152</v>
      </c>
      <c r="F26" s="3" t="s">
        <v>11</v>
      </c>
      <c r="G26" s="3" t="s">
        <v>53</v>
      </c>
      <c r="H26" s="20" t="s">
        <v>419</v>
      </c>
      <c r="I26" s="20"/>
      <c r="J26" s="3" t="s">
        <v>356</v>
      </c>
      <c r="K26" s="3" t="s">
        <v>14</v>
      </c>
      <c r="L26" s="3"/>
      <c r="M26" s="3" t="s">
        <v>55</v>
      </c>
      <c r="N26" s="3">
        <v>4</v>
      </c>
      <c r="O26" s="3" t="s">
        <v>15</v>
      </c>
      <c r="P26" s="3"/>
      <c r="Q26" s="3" t="s">
        <v>395</v>
      </c>
      <c r="R26" s="3" t="s">
        <v>346</v>
      </c>
    </row>
    <row r="27" spans="2:18" s="2" customFormat="1" ht="18" customHeight="1" x14ac:dyDescent="0.2">
      <c r="B27" s="12">
        <f t="shared" si="2"/>
        <v>22</v>
      </c>
      <c r="C27" s="3" t="s">
        <v>36</v>
      </c>
      <c r="D27" s="3">
        <v>5101302</v>
      </c>
      <c r="E27" s="20" t="str">
        <f t="shared" si="0"/>
        <v>5101302</v>
      </c>
      <c r="F27" s="3" t="s">
        <v>11</v>
      </c>
      <c r="G27" s="3" t="s">
        <v>56</v>
      </c>
      <c r="H27" s="20" t="s">
        <v>420</v>
      </c>
      <c r="I27" s="20"/>
      <c r="J27" s="3" t="s">
        <v>57</v>
      </c>
      <c r="K27" s="3" t="s">
        <v>14</v>
      </c>
      <c r="L27" s="3"/>
      <c r="M27" s="3" t="s">
        <v>21</v>
      </c>
      <c r="N27" s="3">
        <v>1</v>
      </c>
      <c r="O27" s="3" t="s">
        <v>15</v>
      </c>
      <c r="P27" s="3"/>
      <c r="Q27" s="3" t="s">
        <v>395</v>
      </c>
      <c r="R27" s="3" t="s">
        <v>346</v>
      </c>
    </row>
    <row r="28" spans="2:18" s="2" customFormat="1" ht="18" customHeight="1" x14ac:dyDescent="0.2">
      <c r="B28" s="12">
        <f t="shared" si="2"/>
        <v>23</v>
      </c>
      <c r="C28" s="3" t="s">
        <v>36</v>
      </c>
      <c r="D28" s="3">
        <v>5101522</v>
      </c>
      <c r="E28" s="20" t="str">
        <f t="shared" si="0"/>
        <v>5101522</v>
      </c>
      <c r="F28" s="3" t="s">
        <v>11</v>
      </c>
      <c r="G28" s="3" t="s">
        <v>58</v>
      </c>
      <c r="H28" s="20" t="s">
        <v>421</v>
      </c>
      <c r="I28" s="20"/>
      <c r="J28" s="3" t="s">
        <v>59</v>
      </c>
      <c r="K28" s="3" t="s">
        <v>14</v>
      </c>
      <c r="L28" s="3"/>
      <c r="M28" s="3" t="s">
        <v>55</v>
      </c>
      <c r="N28" s="3">
        <v>4</v>
      </c>
      <c r="O28" s="3" t="s">
        <v>15</v>
      </c>
      <c r="P28" s="3"/>
      <c r="Q28" s="3" t="s">
        <v>395</v>
      </c>
      <c r="R28" s="3" t="s">
        <v>346</v>
      </c>
    </row>
    <row r="29" spans="2:18" s="2" customFormat="1" ht="18" customHeight="1" x14ac:dyDescent="0.2">
      <c r="B29" s="12">
        <f t="shared" si="2"/>
        <v>24</v>
      </c>
      <c r="C29" s="3" t="s">
        <v>36</v>
      </c>
      <c r="D29" s="3">
        <v>5101967</v>
      </c>
      <c r="E29" s="20" t="str">
        <f t="shared" si="0"/>
        <v>5101967</v>
      </c>
      <c r="F29" s="3" t="s">
        <v>11</v>
      </c>
      <c r="G29" s="3" t="s">
        <v>60</v>
      </c>
      <c r="H29" s="20" t="s">
        <v>422</v>
      </c>
      <c r="I29" s="20"/>
      <c r="J29" s="3" t="s">
        <v>61</v>
      </c>
      <c r="K29" s="3" t="s">
        <v>14</v>
      </c>
      <c r="L29" s="3"/>
      <c r="M29" s="3" t="s">
        <v>18</v>
      </c>
      <c r="N29" s="3">
        <v>2</v>
      </c>
      <c r="O29" s="3" t="s">
        <v>15</v>
      </c>
      <c r="P29" s="3"/>
      <c r="Q29" s="3" t="s">
        <v>353</v>
      </c>
      <c r="R29" s="3" t="s">
        <v>346</v>
      </c>
    </row>
    <row r="30" spans="2:18" s="2" customFormat="1" ht="18" customHeight="1" x14ac:dyDescent="0.2">
      <c r="B30" s="12">
        <f t="shared" si="2"/>
        <v>25</v>
      </c>
      <c r="C30" s="3" t="s">
        <v>36</v>
      </c>
      <c r="D30" s="3">
        <v>7700325</v>
      </c>
      <c r="E30" s="20" t="str">
        <f t="shared" si="0"/>
        <v>7700325</v>
      </c>
      <c r="F30" s="3" t="s">
        <v>11</v>
      </c>
      <c r="G30" s="3" t="s">
        <v>62</v>
      </c>
      <c r="H30" s="20" t="s">
        <v>423</v>
      </c>
      <c r="I30" s="20"/>
      <c r="J30" s="3" t="s">
        <v>63</v>
      </c>
      <c r="K30" s="3" t="s">
        <v>14</v>
      </c>
      <c r="L30" s="3"/>
      <c r="M30" s="3" t="s">
        <v>64</v>
      </c>
      <c r="N30" s="3">
        <v>0.8</v>
      </c>
      <c r="O30" s="3" t="s">
        <v>15</v>
      </c>
      <c r="P30" s="3"/>
      <c r="Q30" s="3" t="s">
        <v>395</v>
      </c>
      <c r="R30" s="3" t="s">
        <v>357</v>
      </c>
    </row>
    <row r="31" spans="2:18" s="2" customFormat="1" ht="18" customHeight="1" x14ac:dyDescent="0.2">
      <c r="B31" s="15">
        <f t="shared" si="2"/>
        <v>26</v>
      </c>
      <c r="C31" s="11" t="s">
        <v>22</v>
      </c>
      <c r="D31" s="11">
        <v>120213847</v>
      </c>
      <c r="E31" s="20" t="str">
        <f t="shared" si="0"/>
        <v>120213847</v>
      </c>
      <c r="F31" s="11" t="s">
        <v>11</v>
      </c>
      <c r="G31" s="11" t="s">
        <v>65</v>
      </c>
      <c r="H31" s="11" t="s">
        <v>424</v>
      </c>
      <c r="I31" s="11"/>
      <c r="J31" s="11" t="s">
        <v>66</v>
      </c>
      <c r="K31" s="11" t="s">
        <v>14</v>
      </c>
      <c r="L31" s="11"/>
      <c r="M31" s="11" t="s">
        <v>21</v>
      </c>
      <c r="N31" s="11">
        <v>1</v>
      </c>
      <c r="O31" s="11" t="s">
        <v>15</v>
      </c>
      <c r="P31" s="11"/>
      <c r="Q31" s="11" t="s">
        <v>354</v>
      </c>
      <c r="R31" s="11" t="s">
        <v>354</v>
      </c>
    </row>
    <row r="32" spans="2:18" s="2" customFormat="1" ht="18" customHeight="1" x14ac:dyDescent="0.2">
      <c r="B32" s="15">
        <f t="shared" si="2"/>
        <v>27</v>
      </c>
      <c r="C32" s="11" t="s">
        <v>36</v>
      </c>
      <c r="D32" s="11">
        <v>120213350</v>
      </c>
      <c r="E32" s="20" t="str">
        <f t="shared" si="0"/>
        <v>120213350</v>
      </c>
      <c r="F32" s="11" t="s">
        <v>11</v>
      </c>
      <c r="G32" s="11" t="s">
        <v>47</v>
      </c>
      <c r="H32" s="11" t="s">
        <v>416</v>
      </c>
      <c r="I32" s="11"/>
      <c r="J32" s="11" t="s">
        <v>48</v>
      </c>
      <c r="K32" s="11" t="s">
        <v>14</v>
      </c>
      <c r="L32" s="11"/>
      <c r="M32" s="11" t="s">
        <v>21</v>
      </c>
      <c r="N32" s="11">
        <v>1</v>
      </c>
      <c r="O32" s="11" t="s">
        <v>15</v>
      </c>
      <c r="P32" s="11"/>
      <c r="Q32" s="11" t="s">
        <v>354</v>
      </c>
      <c r="R32" s="11" t="s">
        <v>365</v>
      </c>
    </row>
    <row r="33" spans="2:18" s="2" customFormat="1" ht="18" customHeight="1" x14ac:dyDescent="0.2">
      <c r="B33" s="12">
        <f t="shared" si="2"/>
        <v>28</v>
      </c>
      <c r="C33" s="3" t="s">
        <v>49</v>
      </c>
      <c r="D33" s="3">
        <v>230213252</v>
      </c>
      <c r="E33" s="20" t="str">
        <f t="shared" si="0"/>
        <v>230213252</v>
      </c>
      <c r="F33" s="3" t="s">
        <v>11</v>
      </c>
      <c r="G33" s="3" t="s">
        <v>50</v>
      </c>
      <c r="H33" s="20" t="s">
        <v>417</v>
      </c>
      <c r="I33" s="20"/>
      <c r="J33" s="3" t="s">
        <v>51</v>
      </c>
      <c r="K33" s="3" t="s">
        <v>14</v>
      </c>
      <c r="L33" s="3"/>
      <c r="M33" s="3" t="s">
        <v>21</v>
      </c>
      <c r="N33" s="3">
        <v>1</v>
      </c>
      <c r="O33" s="3" t="s">
        <v>15</v>
      </c>
      <c r="P33" s="3"/>
      <c r="Q33" s="3" t="s">
        <v>395</v>
      </c>
      <c r="R33" s="3" t="s">
        <v>346</v>
      </c>
    </row>
    <row r="34" spans="2:18" s="2" customFormat="1" ht="18" customHeight="1" x14ac:dyDescent="0.2">
      <c r="B34" s="12">
        <f t="shared" si="2"/>
        <v>29</v>
      </c>
      <c r="C34" s="3" t="s">
        <v>36</v>
      </c>
      <c r="D34" s="3">
        <v>4501116</v>
      </c>
      <c r="E34" s="20" t="str">
        <f t="shared" si="0"/>
        <v>4501116</v>
      </c>
      <c r="F34" s="3" t="s">
        <v>11</v>
      </c>
      <c r="G34" s="3" t="s">
        <v>34</v>
      </c>
      <c r="H34" s="20" t="s">
        <v>418</v>
      </c>
      <c r="I34" s="20"/>
      <c r="J34" s="3" t="s">
        <v>52</v>
      </c>
      <c r="K34" s="3" t="s">
        <v>14</v>
      </c>
      <c r="L34" s="3"/>
      <c r="M34" s="3" t="s">
        <v>18</v>
      </c>
      <c r="N34" s="3">
        <v>2</v>
      </c>
      <c r="O34" s="3" t="s">
        <v>15</v>
      </c>
      <c r="P34" s="3"/>
      <c r="Q34" s="3" t="s">
        <v>395</v>
      </c>
      <c r="R34" s="3" t="s">
        <v>376</v>
      </c>
    </row>
    <row r="35" spans="2:18" s="2" customFormat="1" ht="18" customHeight="1" x14ac:dyDescent="0.2">
      <c r="B35" s="12">
        <f t="shared" si="2"/>
        <v>30</v>
      </c>
      <c r="C35" s="3" t="s">
        <v>36</v>
      </c>
      <c r="D35" s="3">
        <v>510000152</v>
      </c>
      <c r="E35" s="20" t="str">
        <f t="shared" ref="E35:E66" si="3">TRIM(D35)</f>
        <v>510000152</v>
      </c>
      <c r="F35" s="3" t="s">
        <v>11</v>
      </c>
      <c r="G35" s="3" t="s">
        <v>53</v>
      </c>
      <c r="H35" s="20" t="s">
        <v>419</v>
      </c>
      <c r="I35" s="20"/>
      <c r="J35" s="3" t="s">
        <v>54</v>
      </c>
      <c r="K35" s="3" t="s">
        <v>14</v>
      </c>
      <c r="L35" s="3"/>
      <c r="M35" s="3" t="s">
        <v>55</v>
      </c>
      <c r="N35" s="3">
        <v>4</v>
      </c>
      <c r="O35" s="3" t="s">
        <v>15</v>
      </c>
      <c r="P35" s="3"/>
      <c r="Q35" s="3" t="s">
        <v>395</v>
      </c>
      <c r="R35" s="3" t="s">
        <v>346</v>
      </c>
    </row>
    <row r="36" spans="2:18" s="2" customFormat="1" ht="18" customHeight="1" x14ac:dyDescent="0.2">
      <c r="B36" s="12">
        <f t="shared" si="2"/>
        <v>31</v>
      </c>
      <c r="C36" s="3" t="s">
        <v>36</v>
      </c>
      <c r="D36" s="3">
        <v>5101302</v>
      </c>
      <c r="E36" s="20" t="str">
        <f t="shared" si="3"/>
        <v>5101302</v>
      </c>
      <c r="F36" s="3" t="s">
        <v>11</v>
      </c>
      <c r="G36" s="3" t="s">
        <v>56</v>
      </c>
      <c r="H36" s="20" t="s">
        <v>420</v>
      </c>
      <c r="I36" s="20"/>
      <c r="J36" s="3" t="s">
        <v>57</v>
      </c>
      <c r="K36" s="3" t="s">
        <v>14</v>
      </c>
      <c r="L36" s="3"/>
      <c r="M36" s="3" t="s">
        <v>21</v>
      </c>
      <c r="N36" s="3">
        <v>1</v>
      </c>
      <c r="O36" s="3" t="s">
        <v>15</v>
      </c>
      <c r="P36" s="3"/>
      <c r="Q36" s="3" t="s">
        <v>395</v>
      </c>
      <c r="R36" s="3" t="s">
        <v>346</v>
      </c>
    </row>
    <row r="37" spans="2:18" s="2" customFormat="1" ht="18" customHeight="1" x14ac:dyDescent="0.2">
      <c r="B37" s="12">
        <f t="shared" si="2"/>
        <v>32</v>
      </c>
      <c r="C37" s="3" t="s">
        <v>36</v>
      </c>
      <c r="D37" s="3">
        <v>5101522</v>
      </c>
      <c r="E37" s="20" t="str">
        <f t="shared" si="3"/>
        <v>5101522</v>
      </c>
      <c r="F37" s="3" t="s">
        <v>11</v>
      </c>
      <c r="G37" s="3" t="s">
        <v>58</v>
      </c>
      <c r="H37" s="20" t="s">
        <v>421</v>
      </c>
      <c r="I37" s="20"/>
      <c r="J37" s="3" t="s">
        <v>59</v>
      </c>
      <c r="K37" s="3" t="s">
        <v>14</v>
      </c>
      <c r="L37" s="3"/>
      <c r="M37" s="3" t="s">
        <v>55</v>
      </c>
      <c r="N37" s="3">
        <v>4</v>
      </c>
      <c r="O37" s="3" t="s">
        <v>15</v>
      </c>
      <c r="P37" s="3"/>
      <c r="Q37" s="3" t="s">
        <v>395</v>
      </c>
      <c r="R37" s="3" t="s">
        <v>346</v>
      </c>
    </row>
    <row r="38" spans="2:18" s="2" customFormat="1" ht="18" customHeight="1" x14ac:dyDescent="0.2">
      <c r="B38" s="12">
        <f t="shared" si="2"/>
        <v>33</v>
      </c>
      <c r="C38" s="3" t="s">
        <v>36</v>
      </c>
      <c r="D38" s="3">
        <v>5101967</v>
      </c>
      <c r="E38" s="20" t="str">
        <f t="shared" si="3"/>
        <v>5101967</v>
      </c>
      <c r="F38" s="3" t="s">
        <v>11</v>
      </c>
      <c r="G38" s="3" t="s">
        <v>60</v>
      </c>
      <c r="H38" s="20" t="s">
        <v>422</v>
      </c>
      <c r="I38" s="20"/>
      <c r="J38" s="3" t="s">
        <v>61</v>
      </c>
      <c r="K38" s="3" t="s">
        <v>14</v>
      </c>
      <c r="L38" s="3"/>
      <c r="M38" s="3" t="s">
        <v>18</v>
      </c>
      <c r="N38" s="3">
        <v>2</v>
      </c>
      <c r="O38" s="3" t="s">
        <v>15</v>
      </c>
      <c r="P38" s="3"/>
      <c r="Q38" s="3" t="s">
        <v>395</v>
      </c>
      <c r="R38" s="3" t="s">
        <v>346</v>
      </c>
    </row>
    <row r="39" spans="2:18" s="2" customFormat="1" ht="18" customHeight="1" x14ac:dyDescent="0.2">
      <c r="B39" s="12">
        <f t="shared" si="2"/>
        <v>34</v>
      </c>
      <c r="C39" s="3" t="s">
        <v>36</v>
      </c>
      <c r="D39" s="3">
        <v>7700325</v>
      </c>
      <c r="E39" s="20" t="str">
        <f t="shared" si="3"/>
        <v>7700325</v>
      </c>
      <c r="F39" s="3" t="s">
        <v>11</v>
      </c>
      <c r="G39" s="3" t="s">
        <v>62</v>
      </c>
      <c r="H39" s="20" t="s">
        <v>423</v>
      </c>
      <c r="I39" s="20"/>
      <c r="J39" s="3" t="s">
        <v>63</v>
      </c>
      <c r="K39" s="3" t="s">
        <v>14</v>
      </c>
      <c r="L39" s="3"/>
      <c r="M39" s="3" t="s">
        <v>64</v>
      </c>
      <c r="N39" s="3">
        <v>0.8</v>
      </c>
      <c r="O39" s="3" t="s">
        <v>15</v>
      </c>
      <c r="P39" s="3"/>
      <c r="Q39" s="3" t="s">
        <v>395</v>
      </c>
      <c r="R39" s="3" t="s">
        <v>357</v>
      </c>
    </row>
    <row r="40" spans="2:18" s="1" customFormat="1" ht="18" customHeight="1" x14ac:dyDescent="0.2">
      <c r="B40" s="12">
        <f t="shared" si="2"/>
        <v>35</v>
      </c>
      <c r="C40" s="3" t="s">
        <v>22</v>
      </c>
      <c r="D40" s="3">
        <v>190002360</v>
      </c>
      <c r="E40" s="20" t="str">
        <f t="shared" si="3"/>
        <v>190002360</v>
      </c>
      <c r="F40" s="3" t="s">
        <v>11</v>
      </c>
      <c r="G40" s="3" t="s">
        <v>29</v>
      </c>
      <c r="H40" s="20" t="s">
        <v>412</v>
      </c>
      <c r="I40" s="20"/>
      <c r="J40" s="3" t="s">
        <v>67</v>
      </c>
      <c r="K40" s="3" t="s">
        <v>68</v>
      </c>
      <c r="L40" s="3"/>
      <c r="M40" s="3" t="s">
        <v>21</v>
      </c>
      <c r="N40" s="3">
        <v>1</v>
      </c>
      <c r="O40" s="3" t="s">
        <v>15</v>
      </c>
      <c r="P40" s="3"/>
      <c r="Q40" s="3" t="s">
        <v>395</v>
      </c>
      <c r="R40" s="3" t="s">
        <v>346</v>
      </c>
    </row>
    <row r="41" spans="2:18" s="2" customFormat="1" ht="18" customHeight="1" x14ac:dyDescent="0.2">
      <c r="B41" s="12">
        <f t="shared" si="2"/>
        <v>36</v>
      </c>
      <c r="C41" s="3" t="s">
        <v>22</v>
      </c>
      <c r="D41" s="3">
        <v>500000271</v>
      </c>
      <c r="E41" s="20" t="str">
        <f t="shared" si="3"/>
        <v>500000271</v>
      </c>
      <c r="F41" s="3" t="s">
        <v>11</v>
      </c>
      <c r="G41" s="3" t="s">
        <v>23</v>
      </c>
      <c r="H41" s="20" t="s">
        <v>410</v>
      </c>
      <c r="I41" s="20"/>
      <c r="J41" s="3" t="s">
        <v>69</v>
      </c>
      <c r="K41" s="3" t="s">
        <v>70</v>
      </c>
      <c r="L41" s="3"/>
      <c r="M41" s="3" t="s">
        <v>18</v>
      </c>
      <c r="N41" s="3">
        <v>2</v>
      </c>
      <c r="O41" s="3" t="s">
        <v>15</v>
      </c>
      <c r="P41" s="3"/>
      <c r="Q41" s="3" t="s">
        <v>395</v>
      </c>
      <c r="R41" s="3" t="s">
        <v>346</v>
      </c>
    </row>
    <row r="42" spans="2:18" s="2" customFormat="1" ht="18" customHeight="1" x14ac:dyDescent="0.2">
      <c r="B42" s="12">
        <f t="shared" si="2"/>
        <v>37</v>
      </c>
      <c r="C42" s="3" t="s">
        <v>22</v>
      </c>
      <c r="D42" s="3">
        <v>500001392</v>
      </c>
      <c r="E42" s="20" t="str">
        <f t="shared" si="3"/>
        <v>500001392</v>
      </c>
      <c r="F42" s="3" t="s">
        <v>11</v>
      </c>
      <c r="G42" s="3" t="s">
        <v>23</v>
      </c>
      <c r="H42" s="20" t="s">
        <v>410</v>
      </c>
      <c r="I42" s="20"/>
      <c r="J42" s="3" t="s">
        <v>71</v>
      </c>
      <c r="K42" s="3" t="s">
        <v>72</v>
      </c>
      <c r="L42" s="3"/>
      <c r="M42" s="3" t="s">
        <v>21</v>
      </c>
      <c r="N42" s="3">
        <v>1</v>
      </c>
      <c r="O42" s="3" t="s">
        <v>15</v>
      </c>
      <c r="P42" s="3"/>
      <c r="Q42" s="3" t="s">
        <v>395</v>
      </c>
      <c r="R42" s="3" t="s">
        <v>346</v>
      </c>
    </row>
    <row r="43" spans="2:18" s="2" customFormat="1" ht="18" customHeight="1" x14ac:dyDescent="0.2">
      <c r="B43" s="12">
        <f t="shared" si="2"/>
        <v>38</v>
      </c>
      <c r="C43" s="3" t="s">
        <v>22</v>
      </c>
      <c r="D43" s="3">
        <v>5001419</v>
      </c>
      <c r="E43" s="20" t="str">
        <f t="shared" si="3"/>
        <v>5001419</v>
      </c>
      <c r="F43" s="3" t="s">
        <v>11</v>
      </c>
      <c r="G43" s="3" t="s">
        <v>60</v>
      </c>
      <c r="H43" s="20" t="s">
        <v>422</v>
      </c>
      <c r="I43" s="20"/>
      <c r="J43" s="3" t="s">
        <v>73</v>
      </c>
      <c r="K43" s="3" t="s">
        <v>14</v>
      </c>
      <c r="L43" s="3"/>
      <c r="M43" s="3" t="s">
        <v>74</v>
      </c>
      <c r="N43" s="3">
        <v>3</v>
      </c>
      <c r="O43" s="3" t="s">
        <v>15</v>
      </c>
      <c r="P43" s="3"/>
      <c r="Q43" s="3" t="s">
        <v>395</v>
      </c>
      <c r="R43" s="3" t="s">
        <v>346</v>
      </c>
    </row>
    <row r="44" spans="2:18" s="2" customFormat="1" ht="18" customHeight="1" x14ac:dyDescent="0.2">
      <c r="B44" s="12">
        <f t="shared" si="2"/>
        <v>39</v>
      </c>
      <c r="C44" s="3" t="s">
        <v>22</v>
      </c>
      <c r="D44" s="3">
        <v>5001479</v>
      </c>
      <c r="E44" s="20" t="str">
        <f t="shared" si="3"/>
        <v>5001479</v>
      </c>
      <c r="F44" s="3" t="s">
        <v>11</v>
      </c>
      <c r="G44" s="3" t="s">
        <v>29</v>
      </c>
      <c r="H44" s="20" t="s">
        <v>425</v>
      </c>
      <c r="I44" s="20"/>
      <c r="J44" s="3" t="s">
        <v>75</v>
      </c>
      <c r="K44" s="3" t="s">
        <v>76</v>
      </c>
      <c r="L44" s="3"/>
      <c r="M44" s="3" t="s">
        <v>55</v>
      </c>
      <c r="N44" s="3">
        <v>4</v>
      </c>
      <c r="O44" s="3" t="s">
        <v>38</v>
      </c>
      <c r="P44" s="3"/>
      <c r="Q44" s="3" t="s">
        <v>395</v>
      </c>
      <c r="R44" s="3" t="s">
        <v>346</v>
      </c>
    </row>
    <row r="45" spans="2:18" s="2" customFormat="1" ht="18" customHeight="1" x14ac:dyDescent="0.2">
      <c r="B45" s="19" t="str">
        <f>"39-1"</f>
        <v>39-1</v>
      </c>
      <c r="C45" s="18">
        <v>2</v>
      </c>
      <c r="D45" s="18">
        <v>600001344</v>
      </c>
      <c r="E45" s="20" t="str">
        <f t="shared" si="3"/>
        <v>600001344</v>
      </c>
      <c r="F45" s="18" t="s">
        <v>11</v>
      </c>
      <c r="G45" s="18"/>
      <c r="H45" s="18" t="s">
        <v>506</v>
      </c>
      <c r="I45" s="18" t="s">
        <v>513</v>
      </c>
      <c r="J45" s="18" t="s">
        <v>507</v>
      </c>
      <c r="K45" s="18"/>
      <c r="L45" s="18"/>
      <c r="M45" s="18" t="s">
        <v>33</v>
      </c>
      <c r="N45" s="18"/>
      <c r="O45" s="18"/>
      <c r="P45" s="18"/>
      <c r="Q45" s="18"/>
      <c r="R45" s="18"/>
    </row>
    <row r="46" spans="2:18" s="2" customFormat="1" ht="18" customHeight="1" x14ac:dyDescent="0.2">
      <c r="B46" s="12">
        <f>B44+1</f>
        <v>40</v>
      </c>
      <c r="C46" s="3" t="s">
        <v>22</v>
      </c>
      <c r="D46" s="3">
        <v>6500749</v>
      </c>
      <c r="E46" s="20" t="str">
        <f t="shared" si="3"/>
        <v>6500749</v>
      </c>
      <c r="F46" s="3" t="s">
        <v>11</v>
      </c>
      <c r="G46" s="3" t="s">
        <v>23</v>
      </c>
      <c r="H46" s="20" t="s">
        <v>410</v>
      </c>
      <c r="I46" s="20"/>
      <c r="J46" s="3" t="s">
        <v>358</v>
      </c>
      <c r="K46" s="3" t="s">
        <v>77</v>
      </c>
      <c r="L46" s="3"/>
      <c r="M46" s="3" t="s">
        <v>74</v>
      </c>
      <c r="N46" s="3">
        <v>3</v>
      </c>
      <c r="O46" s="3" t="s">
        <v>15</v>
      </c>
      <c r="P46" s="3"/>
      <c r="Q46" s="3" t="s">
        <v>395</v>
      </c>
      <c r="R46" s="3" t="s">
        <v>346</v>
      </c>
    </row>
    <row r="47" spans="2:18" s="2" customFormat="1" ht="18" customHeight="1" x14ac:dyDescent="0.2">
      <c r="B47" s="15">
        <f t="shared" ref="B47:B72" si="4">B46+1</f>
        <v>41</v>
      </c>
      <c r="C47" s="11" t="s">
        <v>16</v>
      </c>
      <c r="D47" s="11">
        <v>110037820</v>
      </c>
      <c r="E47" s="20" t="str">
        <f t="shared" si="3"/>
        <v>110037820</v>
      </c>
      <c r="F47" s="11" t="s">
        <v>11</v>
      </c>
      <c r="G47" s="11" t="s">
        <v>78</v>
      </c>
      <c r="H47" s="11" t="s">
        <v>426</v>
      </c>
      <c r="I47" s="11"/>
      <c r="J47" s="11" t="s">
        <v>79</v>
      </c>
      <c r="K47" s="11" t="s">
        <v>14</v>
      </c>
      <c r="L47" s="11"/>
      <c r="M47" s="11" t="s">
        <v>21</v>
      </c>
      <c r="N47" s="11">
        <v>1</v>
      </c>
      <c r="O47" s="11" t="s">
        <v>38</v>
      </c>
      <c r="P47" s="11"/>
      <c r="Q47" s="11" t="s">
        <v>354</v>
      </c>
      <c r="R47" s="11" t="s">
        <v>354</v>
      </c>
    </row>
    <row r="48" spans="2:18" s="1" customFormat="1" ht="18" customHeight="1" x14ac:dyDescent="0.2">
      <c r="B48" s="12">
        <f t="shared" si="4"/>
        <v>42</v>
      </c>
      <c r="C48" s="3" t="s">
        <v>22</v>
      </c>
      <c r="D48" s="3">
        <v>170068080</v>
      </c>
      <c r="E48" s="20" t="str">
        <f t="shared" si="3"/>
        <v>170068080</v>
      </c>
      <c r="F48" s="3" t="s">
        <v>11</v>
      </c>
      <c r="G48" s="3" t="s">
        <v>60</v>
      </c>
      <c r="H48" s="20" t="s">
        <v>422</v>
      </c>
      <c r="I48" s="20"/>
      <c r="J48" s="3" t="s">
        <v>80</v>
      </c>
      <c r="K48" s="3" t="s">
        <v>68</v>
      </c>
      <c r="L48" s="3"/>
      <c r="M48" s="3" t="s">
        <v>21</v>
      </c>
      <c r="N48" s="3">
        <v>1</v>
      </c>
      <c r="O48" s="3" t="s">
        <v>15</v>
      </c>
      <c r="P48" s="3"/>
      <c r="Q48" s="3" t="s">
        <v>395</v>
      </c>
      <c r="R48" s="3" t="s">
        <v>396</v>
      </c>
    </row>
    <row r="49" spans="2:18" s="1" customFormat="1" ht="18" customHeight="1" x14ac:dyDescent="0.2">
      <c r="B49" s="12">
        <f t="shared" si="4"/>
        <v>43</v>
      </c>
      <c r="C49" s="3" t="s">
        <v>22</v>
      </c>
      <c r="D49" s="3">
        <v>170068090</v>
      </c>
      <c r="E49" s="20" t="str">
        <f t="shared" si="3"/>
        <v>170068090</v>
      </c>
      <c r="F49" s="3" t="s">
        <v>11</v>
      </c>
      <c r="G49" s="3" t="s">
        <v>60</v>
      </c>
      <c r="H49" s="20" t="s">
        <v>422</v>
      </c>
      <c r="I49" s="20"/>
      <c r="J49" s="3" t="s">
        <v>81</v>
      </c>
      <c r="K49" s="3" t="s">
        <v>70</v>
      </c>
      <c r="L49" s="3"/>
      <c r="M49" s="3" t="s">
        <v>21</v>
      </c>
      <c r="N49" s="3">
        <v>1</v>
      </c>
      <c r="O49" s="3" t="s">
        <v>15</v>
      </c>
      <c r="P49" s="3"/>
      <c r="Q49" s="3" t="s">
        <v>395</v>
      </c>
      <c r="R49" s="3" t="s">
        <v>396</v>
      </c>
    </row>
    <row r="50" spans="2:18" s="1" customFormat="1" ht="18" customHeight="1" x14ac:dyDescent="0.2">
      <c r="B50" s="12">
        <f t="shared" si="4"/>
        <v>44</v>
      </c>
      <c r="C50" s="3" t="s">
        <v>22</v>
      </c>
      <c r="D50" s="3">
        <v>170068100</v>
      </c>
      <c r="E50" s="20" t="str">
        <f t="shared" si="3"/>
        <v>170068100</v>
      </c>
      <c r="F50" s="3" t="s">
        <v>11</v>
      </c>
      <c r="G50" s="3" t="s">
        <v>60</v>
      </c>
      <c r="H50" s="20" t="s">
        <v>422</v>
      </c>
      <c r="I50" s="20"/>
      <c r="J50" s="3" t="s">
        <v>82</v>
      </c>
      <c r="K50" s="3" t="s">
        <v>83</v>
      </c>
      <c r="L50" s="3"/>
      <c r="M50" s="3" t="s">
        <v>21</v>
      </c>
      <c r="N50" s="3">
        <v>1</v>
      </c>
      <c r="O50" s="3" t="s">
        <v>15</v>
      </c>
      <c r="P50" s="3"/>
      <c r="Q50" s="3" t="s">
        <v>395</v>
      </c>
      <c r="R50" s="3" t="s">
        <v>396</v>
      </c>
    </row>
    <row r="51" spans="2:18" s="2" customFormat="1" ht="18" customHeight="1" x14ac:dyDescent="0.2">
      <c r="B51" s="12">
        <f t="shared" si="4"/>
        <v>45</v>
      </c>
      <c r="C51" s="3" t="s">
        <v>22</v>
      </c>
      <c r="D51" s="3">
        <v>170151859</v>
      </c>
      <c r="E51" s="20" t="str">
        <f t="shared" si="3"/>
        <v>170151859</v>
      </c>
      <c r="F51" s="3" t="s">
        <v>11</v>
      </c>
      <c r="G51" s="3" t="s">
        <v>23</v>
      </c>
      <c r="H51" s="20" t="s">
        <v>410</v>
      </c>
      <c r="I51" s="20"/>
      <c r="J51" s="3" t="s">
        <v>359</v>
      </c>
      <c r="K51" s="3" t="s">
        <v>85</v>
      </c>
      <c r="L51" s="3"/>
      <c r="M51" s="3" t="s">
        <v>21</v>
      </c>
      <c r="N51" s="3">
        <v>1</v>
      </c>
      <c r="O51" s="3" t="s">
        <v>15</v>
      </c>
      <c r="P51" s="3"/>
      <c r="Q51" s="3" t="s">
        <v>393</v>
      </c>
      <c r="R51" s="3" t="s">
        <v>344</v>
      </c>
    </row>
    <row r="52" spans="2:18" s="2" customFormat="1" ht="18" customHeight="1" x14ac:dyDescent="0.2">
      <c r="B52" s="12">
        <f t="shared" si="4"/>
        <v>46</v>
      </c>
      <c r="C52" s="3" t="s">
        <v>22</v>
      </c>
      <c r="D52" s="3">
        <v>170216077</v>
      </c>
      <c r="E52" s="20" t="str">
        <f t="shared" si="3"/>
        <v>170216077</v>
      </c>
      <c r="F52" s="3" t="s">
        <v>11</v>
      </c>
      <c r="G52" s="3" t="s">
        <v>53</v>
      </c>
      <c r="H52" s="20" t="s">
        <v>419</v>
      </c>
      <c r="I52" s="20"/>
      <c r="J52" s="3" t="s">
        <v>86</v>
      </c>
      <c r="K52" s="3" t="s">
        <v>14</v>
      </c>
      <c r="L52" s="3"/>
      <c r="M52" s="3" t="s">
        <v>21</v>
      </c>
      <c r="N52" s="3">
        <v>1</v>
      </c>
      <c r="O52" s="3" t="s">
        <v>15</v>
      </c>
      <c r="P52" s="3"/>
      <c r="Q52" s="3" t="s">
        <v>393</v>
      </c>
      <c r="R52" s="3" t="s">
        <v>360</v>
      </c>
    </row>
    <row r="53" spans="2:18" s="2" customFormat="1" ht="18" customHeight="1" x14ac:dyDescent="0.2">
      <c r="B53" s="12">
        <f t="shared" si="4"/>
        <v>47</v>
      </c>
      <c r="C53" s="3" t="s">
        <v>22</v>
      </c>
      <c r="D53" s="3">
        <v>190005028</v>
      </c>
      <c r="E53" s="20" t="str">
        <f t="shared" si="3"/>
        <v>190005028</v>
      </c>
      <c r="F53" s="3" t="s">
        <v>11</v>
      </c>
      <c r="G53" s="3" t="s">
        <v>23</v>
      </c>
      <c r="H53" s="20" t="s">
        <v>410</v>
      </c>
      <c r="I53" s="20"/>
      <c r="J53" s="3" t="s">
        <v>87</v>
      </c>
      <c r="K53" s="3" t="s">
        <v>88</v>
      </c>
      <c r="L53" s="3"/>
      <c r="M53" s="3" t="s">
        <v>21</v>
      </c>
      <c r="N53" s="3">
        <v>1</v>
      </c>
      <c r="O53" s="3" t="s">
        <v>15</v>
      </c>
      <c r="P53" s="3"/>
      <c r="Q53" s="3" t="s">
        <v>395</v>
      </c>
      <c r="R53" s="3" t="s">
        <v>346</v>
      </c>
    </row>
    <row r="54" spans="2:18" s="2" customFormat="1" ht="18" customHeight="1" x14ac:dyDescent="0.2">
      <c r="B54" s="12">
        <f t="shared" si="4"/>
        <v>48</v>
      </c>
      <c r="C54" s="3" t="s">
        <v>22</v>
      </c>
      <c r="D54" s="3">
        <v>300000252</v>
      </c>
      <c r="E54" s="20" t="str">
        <f t="shared" si="3"/>
        <v>300000252</v>
      </c>
      <c r="F54" s="3" t="s">
        <v>11</v>
      </c>
      <c r="G54" s="3" t="s">
        <v>29</v>
      </c>
      <c r="H54" s="20" t="s">
        <v>412</v>
      </c>
      <c r="I54" s="20"/>
      <c r="J54" s="3" t="s">
        <v>89</v>
      </c>
      <c r="K54" s="3" t="s">
        <v>90</v>
      </c>
      <c r="L54" s="3"/>
      <c r="M54" s="3" t="s">
        <v>21</v>
      </c>
      <c r="N54" s="3">
        <v>1</v>
      </c>
      <c r="O54" s="3" t="s">
        <v>15</v>
      </c>
      <c r="P54" s="3"/>
      <c r="Q54" s="3" t="s">
        <v>395</v>
      </c>
      <c r="R54" s="3" t="s">
        <v>346</v>
      </c>
    </row>
    <row r="55" spans="2:18" s="2" customFormat="1" ht="18" customHeight="1" x14ac:dyDescent="0.2">
      <c r="B55" s="12">
        <f t="shared" si="4"/>
        <v>49</v>
      </c>
      <c r="C55" s="3" t="s">
        <v>22</v>
      </c>
      <c r="D55" s="3">
        <v>3400167</v>
      </c>
      <c r="E55" s="20" t="str">
        <f t="shared" si="3"/>
        <v>3400167</v>
      </c>
      <c r="F55" s="3" t="s">
        <v>11</v>
      </c>
      <c r="G55" s="3" t="s">
        <v>91</v>
      </c>
      <c r="H55" s="20" t="s">
        <v>427</v>
      </c>
      <c r="I55" s="20"/>
      <c r="J55" s="3" t="s">
        <v>92</v>
      </c>
      <c r="K55" s="3" t="s">
        <v>93</v>
      </c>
      <c r="L55" s="3"/>
      <c r="M55" s="3" t="s">
        <v>18</v>
      </c>
      <c r="N55" s="3">
        <v>2</v>
      </c>
      <c r="O55" s="3" t="s">
        <v>15</v>
      </c>
      <c r="P55" s="3"/>
      <c r="Q55" s="3" t="s">
        <v>395</v>
      </c>
      <c r="R55" s="3" t="s">
        <v>346</v>
      </c>
    </row>
    <row r="56" spans="2:18" s="2" customFormat="1" ht="18" customHeight="1" x14ac:dyDescent="0.2">
      <c r="B56" s="12">
        <f t="shared" si="4"/>
        <v>50</v>
      </c>
      <c r="C56" s="3" t="s">
        <v>22</v>
      </c>
      <c r="D56" s="3">
        <v>4300505</v>
      </c>
      <c r="E56" s="20" t="str">
        <f t="shared" si="3"/>
        <v>4300505</v>
      </c>
      <c r="F56" s="3" t="s">
        <v>11</v>
      </c>
      <c r="G56" s="3" t="s">
        <v>94</v>
      </c>
      <c r="H56" s="20" t="s">
        <v>428</v>
      </c>
      <c r="I56" s="20"/>
      <c r="J56" s="3" t="s">
        <v>95</v>
      </c>
      <c r="K56" s="3" t="s">
        <v>96</v>
      </c>
      <c r="L56" s="3"/>
      <c r="M56" s="3" t="s">
        <v>18</v>
      </c>
      <c r="N56" s="3">
        <v>2</v>
      </c>
      <c r="O56" s="3" t="s">
        <v>38</v>
      </c>
      <c r="P56" s="3"/>
      <c r="Q56" s="3" t="s">
        <v>395</v>
      </c>
      <c r="R56" s="3" t="s">
        <v>346</v>
      </c>
    </row>
    <row r="57" spans="2:18" s="2" customFormat="1" ht="18" customHeight="1" x14ac:dyDescent="0.2">
      <c r="B57" s="12">
        <f t="shared" si="4"/>
        <v>51</v>
      </c>
      <c r="C57" s="3" t="s">
        <v>22</v>
      </c>
      <c r="D57" s="3">
        <v>4300755</v>
      </c>
      <c r="E57" s="20" t="str">
        <f t="shared" si="3"/>
        <v>4300755</v>
      </c>
      <c r="F57" s="3" t="s">
        <v>11</v>
      </c>
      <c r="G57" s="3" t="s">
        <v>39</v>
      </c>
      <c r="H57" s="20" t="s">
        <v>429</v>
      </c>
      <c r="I57" s="20"/>
      <c r="J57" s="3" t="s">
        <v>97</v>
      </c>
      <c r="K57" s="3" t="s">
        <v>72</v>
      </c>
      <c r="L57" s="3"/>
      <c r="M57" s="3" t="s">
        <v>18</v>
      </c>
      <c r="N57" s="3">
        <v>2</v>
      </c>
      <c r="O57" s="3" t="s">
        <v>38</v>
      </c>
      <c r="P57" s="3"/>
      <c r="Q57" s="3" t="s">
        <v>395</v>
      </c>
      <c r="R57" s="3" t="s">
        <v>346</v>
      </c>
    </row>
    <row r="58" spans="2:18" s="2" customFormat="1" ht="18" customHeight="1" x14ac:dyDescent="0.2">
      <c r="B58" s="15">
        <f t="shared" si="4"/>
        <v>52</v>
      </c>
      <c r="C58" s="11" t="s">
        <v>16</v>
      </c>
      <c r="D58" s="11">
        <v>110144580</v>
      </c>
      <c r="E58" s="20" t="str">
        <f t="shared" si="3"/>
        <v>110144580</v>
      </c>
      <c r="F58" s="11" t="s">
        <v>11</v>
      </c>
      <c r="G58" s="11" t="s">
        <v>98</v>
      </c>
      <c r="H58" s="11" t="s">
        <v>430</v>
      </c>
      <c r="I58" s="11"/>
      <c r="J58" s="11" t="s">
        <v>99</v>
      </c>
      <c r="K58" s="11" t="s">
        <v>14</v>
      </c>
      <c r="L58" s="11"/>
      <c r="M58" s="11" t="s">
        <v>21</v>
      </c>
      <c r="N58" s="11">
        <v>1</v>
      </c>
      <c r="O58" s="11" t="s">
        <v>38</v>
      </c>
      <c r="P58" s="11"/>
      <c r="Q58" s="11" t="s">
        <v>354</v>
      </c>
      <c r="R58" s="11" t="s">
        <v>354</v>
      </c>
    </row>
    <row r="59" spans="2:18" s="1" customFormat="1" ht="18" customHeight="1" x14ac:dyDescent="0.2">
      <c r="B59" s="12">
        <f t="shared" si="4"/>
        <v>53</v>
      </c>
      <c r="C59" s="3" t="s">
        <v>22</v>
      </c>
      <c r="D59" s="3">
        <v>170168745</v>
      </c>
      <c r="E59" s="20" t="str">
        <f t="shared" si="3"/>
        <v>170168745</v>
      </c>
      <c r="F59" s="3" t="s">
        <v>11</v>
      </c>
      <c r="G59" s="3" t="s">
        <v>100</v>
      </c>
      <c r="H59" s="20" t="s">
        <v>431</v>
      </c>
      <c r="I59" s="20"/>
      <c r="J59" s="3" t="s">
        <v>101</v>
      </c>
      <c r="K59" s="3" t="s">
        <v>14</v>
      </c>
      <c r="L59" s="3"/>
      <c r="M59" s="3" t="s">
        <v>21</v>
      </c>
      <c r="N59" s="3">
        <v>1</v>
      </c>
      <c r="O59" s="3" t="s">
        <v>15</v>
      </c>
      <c r="P59" s="3"/>
      <c r="Q59" s="3" t="s">
        <v>395</v>
      </c>
      <c r="R59" s="3" t="s">
        <v>396</v>
      </c>
    </row>
    <row r="60" spans="2:18" s="1" customFormat="1" ht="18" customHeight="1" x14ac:dyDescent="0.2">
      <c r="B60" s="12">
        <f t="shared" si="4"/>
        <v>54</v>
      </c>
      <c r="C60" s="3" t="s">
        <v>22</v>
      </c>
      <c r="D60" s="3">
        <v>170168754</v>
      </c>
      <c r="E60" s="20" t="str">
        <f t="shared" si="3"/>
        <v>170168754</v>
      </c>
      <c r="F60" s="3" t="s">
        <v>11</v>
      </c>
      <c r="G60" s="3" t="s">
        <v>60</v>
      </c>
      <c r="H60" s="20" t="s">
        <v>422</v>
      </c>
      <c r="I60" s="20"/>
      <c r="J60" s="3" t="s">
        <v>102</v>
      </c>
      <c r="K60" s="3" t="s">
        <v>68</v>
      </c>
      <c r="L60" s="3"/>
      <c r="M60" s="3" t="s">
        <v>21</v>
      </c>
      <c r="N60" s="3">
        <v>1</v>
      </c>
      <c r="O60" s="3" t="s">
        <v>15</v>
      </c>
      <c r="P60" s="3"/>
      <c r="Q60" s="3" t="s">
        <v>395</v>
      </c>
      <c r="R60" s="3" t="s">
        <v>396</v>
      </c>
    </row>
    <row r="61" spans="2:18" s="2" customFormat="1" ht="18" customHeight="1" x14ac:dyDescent="0.2">
      <c r="B61" s="12">
        <f t="shared" si="4"/>
        <v>55</v>
      </c>
      <c r="C61" s="3" t="s">
        <v>22</v>
      </c>
      <c r="D61" s="3">
        <v>320000363</v>
      </c>
      <c r="E61" s="20" t="str">
        <f t="shared" si="3"/>
        <v>320000363</v>
      </c>
      <c r="F61" s="3" t="s">
        <v>11</v>
      </c>
      <c r="G61" s="3" t="s">
        <v>29</v>
      </c>
      <c r="H61" s="20" t="s">
        <v>412</v>
      </c>
      <c r="I61" s="20"/>
      <c r="J61" s="3" t="s">
        <v>103</v>
      </c>
      <c r="K61" s="3" t="s">
        <v>70</v>
      </c>
      <c r="L61" s="3"/>
      <c r="M61" s="3" t="s">
        <v>21</v>
      </c>
      <c r="N61" s="3">
        <v>1</v>
      </c>
      <c r="O61" s="3" t="s">
        <v>15</v>
      </c>
      <c r="P61" s="3"/>
      <c r="Q61" s="3" t="s">
        <v>395</v>
      </c>
      <c r="R61" s="3" t="s">
        <v>346</v>
      </c>
    </row>
    <row r="62" spans="2:18" s="2" customFormat="1" ht="18" customHeight="1" x14ac:dyDescent="0.2">
      <c r="B62" s="12">
        <f t="shared" si="4"/>
        <v>56</v>
      </c>
      <c r="C62" s="3" t="s">
        <v>22</v>
      </c>
      <c r="D62" s="3">
        <v>340002212</v>
      </c>
      <c r="E62" s="20" t="str">
        <f t="shared" si="3"/>
        <v>340002212</v>
      </c>
      <c r="F62" s="3" t="s">
        <v>11</v>
      </c>
      <c r="G62" s="3" t="s">
        <v>23</v>
      </c>
      <c r="H62" s="20" t="s">
        <v>410</v>
      </c>
      <c r="I62" s="20"/>
      <c r="J62" s="3" t="s">
        <v>104</v>
      </c>
      <c r="K62" s="3" t="s">
        <v>83</v>
      </c>
      <c r="L62" s="3"/>
      <c r="M62" s="3" t="s">
        <v>18</v>
      </c>
      <c r="N62" s="3">
        <v>2</v>
      </c>
      <c r="O62" s="3" t="s">
        <v>15</v>
      </c>
      <c r="P62" s="3"/>
      <c r="Q62" s="3" t="s">
        <v>395</v>
      </c>
      <c r="R62" s="3" t="s">
        <v>346</v>
      </c>
    </row>
    <row r="63" spans="2:18" s="2" customFormat="1" ht="18" customHeight="1" x14ac:dyDescent="0.2">
      <c r="B63" s="12">
        <f t="shared" si="4"/>
        <v>57</v>
      </c>
      <c r="C63" s="3" t="s">
        <v>22</v>
      </c>
      <c r="D63" s="3">
        <v>3402049</v>
      </c>
      <c r="E63" s="20" t="str">
        <f t="shared" si="3"/>
        <v>3402049</v>
      </c>
      <c r="F63" s="3" t="s">
        <v>11</v>
      </c>
      <c r="G63" s="3" t="s">
        <v>60</v>
      </c>
      <c r="H63" s="20" t="e">
        <v>#N/A</v>
      </c>
      <c r="I63" s="20"/>
      <c r="J63" s="3" t="s">
        <v>105</v>
      </c>
      <c r="K63" s="3" t="s">
        <v>106</v>
      </c>
      <c r="L63" s="3"/>
      <c r="M63" s="3" t="s">
        <v>21</v>
      </c>
      <c r="N63" s="3">
        <v>1</v>
      </c>
      <c r="O63" s="3" t="s">
        <v>15</v>
      </c>
      <c r="P63" s="3"/>
      <c r="Q63" s="3" t="s">
        <v>395</v>
      </c>
      <c r="R63" s="3" t="s">
        <v>346</v>
      </c>
    </row>
    <row r="64" spans="2:18" s="2" customFormat="1" ht="18" customHeight="1" x14ac:dyDescent="0.2">
      <c r="B64" s="12">
        <f t="shared" si="4"/>
        <v>58</v>
      </c>
      <c r="C64" s="3" t="s">
        <v>22</v>
      </c>
      <c r="D64" s="3">
        <v>3402684</v>
      </c>
      <c r="E64" s="20" t="str">
        <f t="shared" si="3"/>
        <v>3402684</v>
      </c>
      <c r="F64" s="3" t="s">
        <v>11</v>
      </c>
      <c r="G64" s="3" t="s">
        <v>23</v>
      </c>
      <c r="H64" s="20" t="s">
        <v>410</v>
      </c>
      <c r="I64" s="20"/>
      <c r="J64" s="3" t="s">
        <v>107</v>
      </c>
      <c r="K64" s="3" t="s">
        <v>76</v>
      </c>
      <c r="L64" s="3"/>
      <c r="M64" s="3" t="s">
        <v>21</v>
      </c>
      <c r="N64" s="3">
        <v>1</v>
      </c>
      <c r="O64" s="3" t="s">
        <v>15</v>
      </c>
      <c r="P64" s="3"/>
      <c r="Q64" s="3" t="s">
        <v>395</v>
      </c>
      <c r="R64" s="3" t="s">
        <v>346</v>
      </c>
    </row>
    <row r="65" spans="2:18" s="1" customFormat="1" ht="18" customHeight="1" x14ac:dyDescent="0.2">
      <c r="B65" s="12">
        <f t="shared" si="4"/>
        <v>59</v>
      </c>
      <c r="C65" s="3" t="s">
        <v>22</v>
      </c>
      <c r="D65" s="3">
        <v>350001184</v>
      </c>
      <c r="E65" s="20" t="str">
        <f t="shared" si="3"/>
        <v>350001184</v>
      </c>
      <c r="F65" s="3" t="s">
        <v>11</v>
      </c>
      <c r="G65" s="3" t="s">
        <v>60</v>
      </c>
      <c r="H65" s="20" t="s">
        <v>422</v>
      </c>
      <c r="I65" s="20"/>
      <c r="J65" s="3" t="s">
        <v>108</v>
      </c>
      <c r="K65" s="3" t="s">
        <v>77</v>
      </c>
      <c r="L65" s="3"/>
      <c r="M65" s="3" t="s">
        <v>18</v>
      </c>
      <c r="N65" s="3">
        <v>2</v>
      </c>
      <c r="O65" s="3" t="s">
        <v>15</v>
      </c>
      <c r="P65" s="3"/>
      <c r="Q65" s="3" t="s">
        <v>395</v>
      </c>
      <c r="R65" s="3" t="s">
        <v>346</v>
      </c>
    </row>
    <row r="66" spans="2:18" s="2" customFormat="1" ht="18" customHeight="1" x14ac:dyDescent="0.2">
      <c r="B66" s="12">
        <f t="shared" si="4"/>
        <v>60</v>
      </c>
      <c r="C66" s="3" t="s">
        <v>22</v>
      </c>
      <c r="D66" s="3">
        <v>430000724</v>
      </c>
      <c r="E66" s="20" t="str">
        <f t="shared" si="3"/>
        <v>430000724</v>
      </c>
      <c r="F66" s="3" t="s">
        <v>11</v>
      </c>
      <c r="G66" s="3" t="s">
        <v>109</v>
      </c>
      <c r="H66" s="20" t="s">
        <v>432</v>
      </c>
      <c r="I66" s="20"/>
      <c r="J66" s="3" t="s">
        <v>110</v>
      </c>
      <c r="K66" s="3" t="s">
        <v>14</v>
      </c>
      <c r="L66" s="3"/>
      <c r="M66" s="3" t="s">
        <v>18</v>
      </c>
      <c r="N66" s="3">
        <v>2</v>
      </c>
      <c r="O66" s="3" t="s">
        <v>15</v>
      </c>
      <c r="P66" s="3"/>
      <c r="Q66" s="3" t="s">
        <v>395</v>
      </c>
      <c r="R66" s="3" t="s">
        <v>346</v>
      </c>
    </row>
    <row r="67" spans="2:18" s="2" customFormat="1" ht="18" customHeight="1" x14ac:dyDescent="0.2">
      <c r="B67" s="12">
        <f t="shared" si="4"/>
        <v>61</v>
      </c>
      <c r="C67" s="3" t="s">
        <v>22</v>
      </c>
      <c r="D67" s="3" t="s">
        <v>367</v>
      </c>
      <c r="E67" s="20" t="str">
        <f t="shared" ref="E67:E98" si="5">TRIM(D67)</f>
        <v>44S0093</v>
      </c>
      <c r="F67" s="3" t="s">
        <v>11</v>
      </c>
      <c r="G67" s="3" t="s">
        <v>111</v>
      </c>
      <c r="H67" s="20" t="s">
        <v>433</v>
      </c>
      <c r="I67" s="20"/>
      <c r="J67" s="3" t="s">
        <v>382</v>
      </c>
      <c r="K67" s="3" t="s">
        <v>14</v>
      </c>
      <c r="L67" s="3"/>
      <c r="M67" s="3" t="s">
        <v>55</v>
      </c>
      <c r="N67" s="3">
        <v>4</v>
      </c>
      <c r="O67" s="3" t="s">
        <v>15</v>
      </c>
      <c r="P67" s="3"/>
      <c r="Q67" s="3" t="s">
        <v>395</v>
      </c>
      <c r="R67" s="3" t="s">
        <v>346</v>
      </c>
    </row>
    <row r="68" spans="2:18" s="2" customFormat="1" ht="18" customHeight="1" x14ac:dyDescent="0.2">
      <c r="B68" s="12">
        <f t="shared" si="4"/>
        <v>62</v>
      </c>
      <c r="C68" s="3" t="s">
        <v>22</v>
      </c>
      <c r="D68" s="3">
        <v>9200106</v>
      </c>
      <c r="E68" s="20" t="str">
        <f t="shared" si="5"/>
        <v>9200106</v>
      </c>
      <c r="F68" s="3" t="s">
        <v>11</v>
      </c>
      <c r="G68" s="3" t="s">
        <v>113</v>
      </c>
      <c r="H68" s="20" t="s">
        <v>434</v>
      </c>
      <c r="I68" s="20"/>
      <c r="J68" s="3" t="s">
        <v>361</v>
      </c>
      <c r="K68" s="3" t="s">
        <v>90</v>
      </c>
      <c r="L68" s="3"/>
      <c r="M68" s="3" t="s">
        <v>25</v>
      </c>
      <c r="N68" s="3">
        <v>0</v>
      </c>
      <c r="O68" s="3" t="s">
        <v>15</v>
      </c>
      <c r="P68" s="3"/>
      <c r="Q68" s="3" t="s">
        <v>395</v>
      </c>
      <c r="R68" s="3" t="s">
        <v>346</v>
      </c>
    </row>
    <row r="69" spans="2:18" s="2" customFormat="1" ht="18" customHeight="1" x14ac:dyDescent="0.2">
      <c r="B69" s="15">
        <f t="shared" si="4"/>
        <v>63</v>
      </c>
      <c r="C69" s="11" t="s">
        <v>16</v>
      </c>
      <c r="D69" s="11">
        <v>110144590</v>
      </c>
      <c r="E69" s="20" t="str">
        <f t="shared" si="5"/>
        <v>110144590</v>
      </c>
      <c r="F69" s="11" t="s">
        <v>11</v>
      </c>
      <c r="G69" s="11" t="s">
        <v>115</v>
      </c>
      <c r="H69" s="11" t="s">
        <v>435</v>
      </c>
      <c r="I69" s="11"/>
      <c r="J69" s="11" t="s">
        <v>116</v>
      </c>
      <c r="K69" s="11" t="s">
        <v>14</v>
      </c>
      <c r="L69" s="11"/>
      <c r="M69" s="11" t="s">
        <v>21</v>
      </c>
      <c r="N69" s="11">
        <v>1</v>
      </c>
      <c r="O69" s="11" t="s">
        <v>38</v>
      </c>
      <c r="P69" s="11"/>
      <c r="Q69" s="11" t="s">
        <v>354</v>
      </c>
      <c r="R69" s="11" t="s">
        <v>354</v>
      </c>
    </row>
    <row r="70" spans="2:18" s="2" customFormat="1" ht="18" customHeight="1" x14ac:dyDescent="0.2">
      <c r="B70" s="19">
        <f t="shared" si="4"/>
        <v>64</v>
      </c>
      <c r="C70" s="18" t="s">
        <v>22</v>
      </c>
      <c r="D70" s="18">
        <v>120213988</v>
      </c>
      <c r="E70" s="20" t="str">
        <f t="shared" si="5"/>
        <v>120213988</v>
      </c>
      <c r="F70" s="18" t="s">
        <v>11</v>
      </c>
      <c r="G70" s="27" t="s">
        <v>117</v>
      </c>
      <c r="H70" s="27" t="s">
        <v>436</v>
      </c>
      <c r="I70" s="18" t="s">
        <v>508</v>
      </c>
      <c r="J70" s="18" t="s">
        <v>118</v>
      </c>
      <c r="K70" s="18" t="s">
        <v>14</v>
      </c>
      <c r="L70" s="18"/>
      <c r="M70" s="18" t="s">
        <v>21</v>
      </c>
      <c r="N70" s="18">
        <v>1</v>
      </c>
      <c r="O70" s="18" t="s">
        <v>38</v>
      </c>
      <c r="P70" s="18"/>
      <c r="Q70" s="18" t="s">
        <v>394</v>
      </c>
      <c r="R70" s="18" t="s">
        <v>377</v>
      </c>
    </row>
    <row r="71" spans="2:18" s="2" customFormat="1" ht="18" customHeight="1" x14ac:dyDescent="0.2">
      <c r="B71" s="8">
        <f t="shared" si="4"/>
        <v>65</v>
      </c>
      <c r="C71" s="4" t="s">
        <v>36</v>
      </c>
      <c r="D71" s="4">
        <v>330000145</v>
      </c>
      <c r="E71" s="20" t="str">
        <f t="shared" si="5"/>
        <v>330000145</v>
      </c>
      <c r="F71" s="4" t="s">
        <v>11</v>
      </c>
      <c r="G71" s="4" t="s">
        <v>23</v>
      </c>
      <c r="H71" s="4" t="s">
        <v>410</v>
      </c>
      <c r="I71" s="4"/>
      <c r="J71" s="4" t="s">
        <v>119</v>
      </c>
      <c r="K71" s="4" t="s">
        <v>14</v>
      </c>
      <c r="L71" s="4"/>
      <c r="M71" s="4" t="s">
        <v>21</v>
      </c>
      <c r="N71" s="4">
        <v>1</v>
      </c>
      <c r="O71" s="4" t="s">
        <v>15</v>
      </c>
      <c r="P71" s="4"/>
      <c r="Q71" s="4" t="s">
        <v>397</v>
      </c>
      <c r="R71" s="4" t="s">
        <v>383</v>
      </c>
    </row>
    <row r="72" spans="2:18" s="2" customFormat="1" ht="18" customHeight="1" x14ac:dyDescent="0.2">
      <c r="B72" s="8">
        <f t="shared" si="4"/>
        <v>66</v>
      </c>
      <c r="C72" s="4" t="s">
        <v>36</v>
      </c>
      <c r="D72" s="24">
        <v>5102969</v>
      </c>
      <c r="E72" s="20" t="str">
        <f t="shared" si="5"/>
        <v>5102969</v>
      </c>
      <c r="F72" s="4" t="s">
        <v>11</v>
      </c>
      <c r="G72" s="4" t="s">
        <v>120</v>
      </c>
      <c r="H72" s="4" t="s">
        <v>437</v>
      </c>
      <c r="I72" s="4" t="s">
        <v>510</v>
      </c>
      <c r="J72" s="4" t="s">
        <v>121</v>
      </c>
      <c r="K72" s="4" t="s">
        <v>14</v>
      </c>
      <c r="L72" s="4"/>
      <c r="M72" s="4" t="s">
        <v>18</v>
      </c>
      <c r="N72" s="4">
        <v>2</v>
      </c>
      <c r="O72" s="4" t="s">
        <v>15</v>
      </c>
      <c r="P72" s="4"/>
      <c r="Q72" s="4" t="s">
        <v>397</v>
      </c>
      <c r="R72" s="4" t="s">
        <v>383</v>
      </c>
    </row>
    <row r="73" spans="2:18" s="2" customFormat="1" ht="18" customHeight="1" x14ac:dyDescent="0.2">
      <c r="B73" s="19" t="str">
        <f>"66-1"</f>
        <v>66-1</v>
      </c>
      <c r="C73" s="18">
        <v>3</v>
      </c>
      <c r="D73" s="18">
        <v>500000396</v>
      </c>
      <c r="E73" s="20" t="str">
        <f t="shared" si="5"/>
        <v>500000396</v>
      </c>
      <c r="F73" s="18" t="s">
        <v>11</v>
      </c>
      <c r="G73" s="18"/>
      <c r="H73" s="18" t="s">
        <v>506</v>
      </c>
      <c r="I73" s="18" t="s">
        <v>510</v>
      </c>
      <c r="J73" s="25" t="s">
        <v>694</v>
      </c>
      <c r="K73" s="18"/>
      <c r="L73" s="18"/>
      <c r="M73" s="18" t="s">
        <v>18</v>
      </c>
      <c r="N73" s="18">
        <v>2</v>
      </c>
      <c r="O73" s="18" t="s">
        <v>15</v>
      </c>
      <c r="P73" s="18"/>
      <c r="Q73" s="18"/>
      <c r="R73" s="18"/>
    </row>
    <row r="74" spans="2:18" s="1" customFormat="1" ht="18" customHeight="1" x14ac:dyDescent="0.2">
      <c r="B74" s="12">
        <f>B72+1</f>
        <v>67</v>
      </c>
      <c r="C74" s="3" t="s">
        <v>22</v>
      </c>
      <c r="D74" s="3">
        <v>170168743</v>
      </c>
      <c r="E74" s="20" t="str">
        <f t="shared" si="5"/>
        <v>170168743</v>
      </c>
      <c r="F74" s="3" t="s">
        <v>11</v>
      </c>
      <c r="G74" s="3" t="s">
        <v>26</v>
      </c>
      <c r="H74" s="20" t="s">
        <v>411</v>
      </c>
      <c r="I74" s="20"/>
      <c r="J74" s="3" t="s">
        <v>122</v>
      </c>
      <c r="K74" s="3" t="s">
        <v>14</v>
      </c>
      <c r="L74" s="3"/>
      <c r="M74" s="3" t="s">
        <v>21</v>
      </c>
      <c r="N74" s="3">
        <v>1</v>
      </c>
      <c r="O74" s="3" t="s">
        <v>15</v>
      </c>
      <c r="P74" s="3"/>
      <c r="Q74" s="3" t="s">
        <v>395</v>
      </c>
      <c r="R74" s="3" t="s">
        <v>396</v>
      </c>
    </row>
    <row r="75" spans="2:18" s="1" customFormat="1" ht="18" customHeight="1" x14ac:dyDescent="0.2">
      <c r="B75" s="12">
        <f t="shared" ref="B75:B87" si="6">B74+1</f>
        <v>68</v>
      </c>
      <c r="C75" s="3" t="s">
        <v>22</v>
      </c>
      <c r="D75" s="3">
        <v>170168751</v>
      </c>
      <c r="E75" s="20" t="str">
        <f t="shared" si="5"/>
        <v>170168751</v>
      </c>
      <c r="F75" s="3" t="s">
        <v>11</v>
      </c>
      <c r="G75" s="3" t="s">
        <v>23</v>
      </c>
      <c r="H75" s="20" t="s">
        <v>410</v>
      </c>
      <c r="I75" s="20"/>
      <c r="J75" s="3" t="s">
        <v>123</v>
      </c>
      <c r="K75" s="3" t="s">
        <v>14</v>
      </c>
      <c r="L75" s="3"/>
      <c r="M75" s="3" t="s">
        <v>21</v>
      </c>
      <c r="N75" s="3">
        <v>1</v>
      </c>
      <c r="O75" s="3" t="s">
        <v>15</v>
      </c>
      <c r="P75" s="3"/>
      <c r="Q75" s="3" t="s">
        <v>395</v>
      </c>
      <c r="R75" s="3" t="s">
        <v>396</v>
      </c>
    </row>
    <row r="76" spans="2:18" s="2" customFormat="1" ht="18" customHeight="1" x14ac:dyDescent="0.2">
      <c r="B76" s="12">
        <f t="shared" si="6"/>
        <v>69</v>
      </c>
      <c r="C76" s="3" t="s">
        <v>22</v>
      </c>
      <c r="D76" s="3">
        <v>320000363</v>
      </c>
      <c r="E76" s="20" t="str">
        <f t="shared" si="5"/>
        <v>320000363</v>
      </c>
      <c r="F76" s="3" t="s">
        <v>11</v>
      </c>
      <c r="G76" s="3" t="s">
        <v>29</v>
      </c>
      <c r="H76" s="20" t="s">
        <v>412</v>
      </c>
      <c r="I76" s="20"/>
      <c r="J76" s="3" t="s">
        <v>103</v>
      </c>
      <c r="K76" s="3" t="s">
        <v>14</v>
      </c>
      <c r="L76" s="3"/>
      <c r="M76" s="3" t="s">
        <v>21</v>
      </c>
      <c r="N76" s="3">
        <v>1</v>
      </c>
      <c r="O76" s="3" t="s">
        <v>15</v>
      </c>
      <c r="P76" s="3"/>
      <c r="Q76" s="3" t="s">
        <v>395</v>
      </c>
      <c r="R76" s="3" t="s">
        <v>346</v>
      </c>
    </row>
    <row r="77" spans="2:18" s="2" customFormat="1" ht="18" customHeight="1" x14ac:dyDescent="0.2">
      <c r="B77" s="12">
        <f t="shared" si="6"/>
        <v>70</v>
      </c>
      <c r="C77" s="3" t="s">
        <v>22</v>
      </c>
      <c r="D77" s="3">
        <v>340002212</v>
      </c>
      <c r="E77" s="20" t="str">
        <f t="shared" si="5"/>
        <v>340002212</v>
      </c>
      <c r="F77" s="3" t="s">
        <v>11</v>
      </c>
      <c r="G77" s="3" t="s">
        <v>23</v>
      </c>
      <c r="H77" s="20" t="s">
        <v>410</v>
      </c>
      <c r="I77" s="20"/>
      <c r="J77" s="3" t="s">
        <v>104</v>
      </c>
      <c r="K77" s="3" t="s">
        <v>14</v>
      </c>
      <c r="L77" s="3"/>
      <c r="M77" s="3" t="s">
        <v>18</v>
      </c>
      <c r="N77" s="3">
        <v>2</v>
      </c>
      <c r="O77" s="3" t="s">
        <v>15</v>
      </c>
      <c r="P77" s="3"/>
      <c r="Q77" s="3" t="s">
        <v>395</v>
      </c>
      <c r="R77" s="3" t="s">
        <v>346</v>
      </c>
    </row>
    <row r="78" spans="2:18" s="2" customFormat="1" ht="18" customHeight="1" x14ac:dyDescent="0.2">
      <c r="B78" s="12">
        <f t="shared" si="6"/>
        <v>71</v>
      </c>
      <c r="C78" s="3" t="s">
        <v>22</v>
      </c>
      <c r="D78" s="3">
        <v>3402049</v>
      </c>
      <c r="E78" s="20" t="str">
        <f t="shared" si="5"/>
        <v>3402049</v>
      </c>
      <c r="F78" s="3" t="s">
        <v>11</v>
      </c>
      <c r="G78" s="3" t="s">
        <v>60</v>
      </c>
      <c r="H78" s="20" t="e">
        <v>#N/A</v>
      </c>
      <c r="I78" s="20"/>
      <c r="J78" s="3" t="s">
        <v>366</v>
      </c>
      <c r="K78" s="3" t="s">
        <v>14</v>
      </c>
      <c r="L78" s="3"/>
      <c r="M78" s="3" t="s">
        <v>21</v>
      </c>
      <c r="N78" s="3">
        <v>1</v>
      </c>
      <c r="O78" s="3" t="s">
        <v>15</v>
      </c>
      <c r="P78" s="3"/>
      <c r="Q78" s="3" t="s">
        <v>395</v>
      </c>
      <c r="R78" s="3" t="s">
        <v>346</v>
      </c>
    </row>
    <row r="79" spans="2:18" s="2" customFormat="1" ht="18" customHeight="1" x14ac:dyDescent="0.2">
      <c r="B79" s="12">
        <f t="shared" si="6"/>
        <v>72</v>
      </c>
      <c r="C79" s="3" t="s">
        <v>22</v>
      </c>
      <c r="D79" s="3">
        <v>3402684</v>
      </c>
      <c r="E79" s="20" t="str">
        <f t="shared" si="5"/>
        <v>3402684</v>
      </c>
      <c r="F79" s="3" t="s">
        <v>11</v>
      </c>
      <c r="G79" s="3" t="s">
        <v>23</v>
      </c>
      <c r="H79" s="20" t="s">
        <v>410</v>
      </c>
      <c r="I79" s="20"/>
      <c r="J79" s="3" t="s">
        <v>107</v>
      </c>
      <c r="K79" s="3" t="s">
        <v>14</v>
      </c>
      <c r="L79" s="3"/>
      <c r="M79" s="3" t="s">
        <v>21</v>
      </c>
      <c r="N79" s="3">
        <v>1</v>
      </c>
      <c r="O79" s="3" t="s">
        <v>15</v>
      </c>
      <c r="P79" s="3"/>
      <c r="Q79" s="3" t="s">
        <v>395</v>
      </c>
      <c r="R79" s="3" t="s">
        <v>346</v>
      </c>
    </row>
    <row r="80" spans="2:18" s="2" customFormat="1" ht="18" customHeight="1" x14ac:dyDescent="0.2">
      <c r="B80" s="12">
        <f t="shared" si="6"/>
        <v>73</v>
      </c>
      <c r="C80" s="3" t="s">
        <v>22</v>
      </c>
      <c r="D80" s="3">
        <v>350001184</v>
      </c>
      <c r="E80" s="20" t="str">
        <f t="shared" si="5"/>
        <v>350001184</v>
      </c>
      <c r="F80" s="3" t="s">
        <v>11</v>
      </c>
      <c r="G80" s="3" t="s">
        <v>60</v>
      </c>
      <c r="H80" s="20" t="s">
        <v>422</v>
      </c>
      <c r="I80" s="20"/>
      <c r="J80" s="3" t="s">
        <v>108</v>
      </c>
      <c r="K80" s="3" t="s">
        <v>14</v>
      </c>
      <c r="L80" s="3"/>
      <c r="M80" s="3" t="s">
        <v>18</v>
      </c>
      <c r="N80" s="3">
        <v>2</v>
      </c>
      <c r="O80" s="3" t="s">
        <v>15</v>
      </c>
      <c r="P80" s="3"/>
      <c r="Q80" s="3" t="s">
        <v>395</v>
      </c>
      <c r="R80" s="3" t="s">
        <v>346</v>
      </c>
    </row>
    <row r="81" spans="2:18" s="2" customFormat="1" ht="18" customHeight="1" x14ac:dyDescent="0.2">
      <c r="B81" s="12">
        <f t="shared" si="6"/>
        <v>74</v>
      </c>
      <c r="C81" s="3" t="s">
        <v>22</v>
      </c>
      <c r="D81" s="3">
        <v>430000724</v>
      </c>
      <c r="E81" s="20" t="str">
        <f t="shared" si="5"/>
        <v>430000724</v>
      </c>
      <c r="F81" s="3" t="s">
        <v>11</v>
      </c>
      <c r="G81" s="3" t="s">
        <v>109</v>
      </c>
      <c r="H81" s="20" t="s">
        <v>432</v>
      </c>
      <c r="I81" s="20"/>
      <c r="J81" s="3" t="s">
        <v>110</v>
      </c>
      <c r="K81" s="3" t="s">
        <v>14</v>
      </c>
      <c r="L81" s="3"/>
      <c r="M81" s="3" t="s">
        <v>18</v>
      </c>
      <c r="N81" s="3">
        <v>2</v>
      </c>
      <c r="O81" s="3" t="s">
        <v>15</v>
      </c>
      <c r="P81" s="3"/>
      <c r="Q81" s="3" t="s">
        <v>395</v>
      </c>
      <c r="R81" s="3" t="s">
        <v>346</v>
      </c>
    </row>
    <row r="82" spans="2:18" s="2" customFormat="1" ht="18" customHeight="1" x14ac:dyDescent="0.2">
      <c r="B82" s="12">
        <f t="shared" si="6"/>
        <v>75</v>
      </c>
      <c r="C82" s="3" t="s">
        <v>22</v>
      </c>
      <c r="D82" s="3" t="s">
        <v>367</v>
      </c>
      <c r="E82" s="20" t="str">
        <f t="shared" si="5"/>
        <v>44S0093</v>
      </c>
      <c r="F82" s="3" t="s">
        <v>11</v>
      </c>
      <c r="G82" s="3" t="s">
        <v>111</v>
      </c>
      <c r="H82" s="20" t="s">
        <v>433</v>
      </c>
      <c r="I82" s="20"/>
      <c r="J82" s="3" t="s">
        <v>112</v>
      </c>
      <c r="K82" s="3" t="s">
        <v>14</v>
      </c>
      <c r="L82" s="3"/>
      <c r="M82" s="3" t="s">
        <v>55</v>
      </c>
      <c r="N82" s="3">
        <v>4</v>
      </c>
      <c r="O82" s="3" t="s">
        <v>15</v>
      </c>
      <c r="P82" s="3"/>
      <c r="Q82" s="3" t="s">
        <v>395</v>
      </c>
      <c r="R82" s="3" t="s">
        <v>346</v>
      </c>
    </row>
    <row r="83" spans="2:18" s="2" customFormat="1" ht="18" customHeight="1" x14ac:dyDescent="0.2">
      <c r="B83" s="12">
        <f t="shared" si="6"/>
        <v>76</v>
      </c>
      <c r="C83" s="3" t="s">
        <v>22</v>
      </c>
      <c r="D83" s="3">
        <v>9200106</v>
      </c>
      <c r="E83" s="20" t="str">
        <f t="shared" si="5"/>
        <v>9200106</v>
      </c>
      <c r="F83" s="3" t="s">
        <v>11</v>
      </c>
      <c r="G83" s="3" t="s">
        <v>113</v>
      </c>
      <c r="H83" s="20" t="s">
        <v>434</v>
      </c>
      <c r="I83" s="20"/>
      <c r="J83" s="3" t="s">
        <v>114</v>
      </c>
      <c r="K83" s="3" t="s">
        <v>14</v>
      </c>
      <c r="L83" s="3"/>
      <c r="M83" s="3" t="s">
        <v>25</v>
      </c>
      <c r="N83" s="3">
        <v>0</v>
      </c>
      <c r="O83" s="3" t="s">
        <v>15</v>
      </c>
      <c r="P83" s="3"/>
      <c r="Q83" s="3" t="s">
        <v>395</v>
      </c>
      <c r="R83" s="3" t="s">
        <v>346</v>
      </c>
    </row>
    <row r="84" spans="2:18" s="2" customFormat="1" ht="18" customHeight="1" x14ac:dyDescent="0.2">
      <c r="B84" s="19">
        <f t="shared" si="6"/>
        <v>77</v>
      </c>
      <c r="C84" s="18" t="s">
        <v>16</v>
      </c>
      <c r="D84" s="18">
        <v>110144600</v>
      </c>
      <c r="E84" s="20" t="str">
        <f t="shared" si="5"/>
        <v>110144600</v>
      </c>
      <c r="F84" s="18" t="s">
        <v>11</v>
      </c>
      <c r="G84" s="27" t="s">
        <v>124</v>
      </c>
      <c r="H84" s="27" t="s">
        <v>438</v>
      </c>
      <c r="I84" s="27" t="s">
        <v>511</v>
      </c>
      <c r="J84" s="18" t="s">
        <v>125</v>
      </c>
      <c r="K84" s="18" t="s">
        <v>14</v>
      </c>
      <c r="L84" s="18"/>
      <c r="M84" s="18" t="s">
        <v>21</v>
      </c>
      <c r="N84" s="18">
        <v>1</v>
      </c>
      <c r="O84" s="18" t="s">
        <v>38</v>
      </c>
      <c r="P84" s="18"/>
      <c r="Q84" s="18" t="s">
        <v>354</v>
      </c>
      <c r="R84" s="18" t="s">
        <v>354</v>
      </c>
    </row>
    <row r="85" spans="2:18" s="2" customFormat="1" ht="18" customHeight="1" x14ac:dyDescent="0.2">
      <c r="B85" s="13">
        <f t="shared" si="6"/>
        <v>78</v>
      </c>
      <c r="C85" s="3" t="s">
        <v>22</v>
      </c>
      <c r="D85" s="3">
        <v>120213988</v>
      </c>
      <c r="E85" s="20" t="str">
        <f t="shared" si="5"/>
        <v>120213988</v>
      </c>
      <c r="F85" s="3" t="s">
        <v>11</v>
      </c>
      <c r="G85" s="3" t="s">
        <v>117</v>
      </c>
      <c r="H85" s="20" t="s">
        <v>436</v>
      </c>
      <c r="I85" s="20"/>
      <c r="J85" s="3" t="s">
        <v>118</v>
      </c>
      <c r="K85" s="3" t="s">
        <v>14</v>
      </c>
      <c r="L85" s="3"/>
      <c r="M85" s="3" t="s">
        <v>21</v>
      </c>
      <c r="N85" s="3">
        <v>1</v>
      </c>
      <c r="O85" s="3" t="s">
        <v>38</v>
      </c>
      <c r="P85" s="3"/>
      <c r="Q85" s="3" t="s">
        <v>394</v>
      </c>
      <c r="R85" s="3" t="s">
        <v>355</v>
      </c>
    </row>
    <row r="86" spans="2:18" s="2" customFormat="1" ht="18" customHeight="1" x14ac:dyDescent="0.2">
      <c r="B86" s="8">
        <f t="shared" si="6"/>
        <v>79</v>
      </c>
      <c r="C86" s="4" t="s">
        <v>36</v>
      </c>
      <c r="D86" s="4">
        <v>330000145</v>
      </c>
      <c r="E86" s="20" t="str">
        <f t="shared" si="5"/>
        <v>330000145</v>
      </c>
      <c r="F86" s="4" t="s">
        <v>11</v>
      </c>
      <c r="G86" s="4" t="s">
        <v>23</v>
      </c>
      <c r="H86" s="4" t="s">
        <v>410</v>
      </c>
      <c r="I86" s="4"/>
      <c r="J86" s="4" t="s">
        <v>119</v>
      </c>
      <c r="K86" s="4" t="s">
        <v>14</v>
      </c>
      <c r="L86" s="4"/>
      <c r="M86" s="4" t="s">
        <v>21</v>
      </c>
      <c r="N86" s="4">
        <v>1</v>
      </c>
      <c r="O86" s="4" t="s">
        <v>15</v>
      </c>
      <c r="P86" s="4"/>
      <c r="Q86" s="4" t="s">
        <v>397</v>
      </c>
      <c r="R86" s="4" t="s">
        <v>384</v>
      </c>
    </row>
    <row r="87" spans="2:18" s="2" customFormat="1" ht="18" customHeight="1" x14ac:dyDescent="0.2">
      <c r="B87" s="28">
        <f t="shared" si="6"/>
        <v>80</v>
      </c>
      <c r="C87" s="24" t="s">
        <v>36</v>
      </c>
      <c r="D87" s="24">
        <v>5102969</v>
      </c>
      <c r="E87" s="29" t="str">
        <f t="shared" si="5"/>
        <v>5102969</v>
      </c>
      <c r="F87" s="24" t="s">
        <v>11</v>
      </c>
      <c r="G87" s="24" t="s">
        <v>120</v>
      </c>
      <c r="H87" s="24" t="s">
        <v>437</v>
      </c>
      <c r="I87" s="24"/>
      <c r="J87" s="24" t="s">
        <v>121</v>
      </c>
      <c r="K87" s="4" t="s">
        <v>14</v>
      </c>
      <c r="L87" s="4"/>
      <c r="M87" s="4" t="s">
        <v>18</v>
      </c>
      <c r="N87" s="4">
        <v>2</v>
      </c>
      <c r="O87" s="4" t="s">
        <v>15</v>
      </c>
      <c r="P87" s="4"/>
      <c r="Q87" s="4" t="s">
        <v>397</v>
      </c>
      <c r="R87" s="4" t="s">
        <v>384</v>
      </c>
    </row>
    <row r="88" spans="2:18" s="2" customFormat="1" ht="18" customHeight="1" x14ac:dyDescent="0.2">
      <c r="B88" s="19" t="str">
        <f>"80-1"</f>
        <v>80-1</v>
      </c>
      <c r="C88" s="18">
        <v>3</v>
      </c>
      <c r="D88" s="18">
        <v>500000396</v>
      </c>
      <c r="E88" s="20" t="str">
        <f t="shared" si="5"/>
        <v>500000396</v>
      </c>
      <c r="F88" s="18" t="s">
        <v>11</v>
      </c>
      <c r="G88" s="18"/>
      <c r="H88" s="18" t="s">
        <v>506</v>
      </c>
      <c r="I88" s="18" t="s">
        <v>510</v>
      </c>
      <c r="J88" s="25" t="s">
        <v>509</v>
      </c>
      <c r="K88" s="18"/>
      <c r="L88" s="18"/>
      <c r="M88" s="18" t="s">
        <v>18</v>
      </c>
      <c r="N88" s="18">
        <v>2</v>
      </c>
      <c r="O88" s="18" t="s">
        <v>15</v>
      </c>
      <c r="P88" s="18"/>
      <c r="Q88" s="18"/>
      <c r="R88" s="18"/>
    </row>
    <row r="89" spans="2:18" s="2" customFormat="1" ht="18" customHeight="1" x14ac:dyDescent="0.2">
      <c r="B89" s="13">
        <f>B87+1</f>
        <v>81</v>
      </c>
      <c r="C89" s="3" t="s">
        <v>22</v>
      </c>
      <c r="D89" s="3">
        <v>170168748</v>
      </c>
      <c r="E89" s="20" t="str">
        <f t="shared" si="5"/>
        <v>170168748</v>
      </c>
      <c r="F89" s="3" t="s">
        <v>11</v>
      </c>
      <c r="G89" s="3" t="s">
        <v>29</v>
      </c>
      <c r="H89" s="20" t="s">
        <v>439</v>
      </c>
      <c r="I89" s="20"/>
      <c r="J89" s="3" t="s">
        <v>126</v>
      </c>
      <c r="K89" s="3" t="s">
        <v>127</v>
      </c>
      <c r="L89" s="3"/>
      <c r="M89" s="3" t="s">
        <v>21</v>
      </c>
      <c r="N89" s="3">
        <v>1</v>
      </c>
      <c r="O89" s="3" t="s">
        <v>38</v>
      </c>
      <c r="P89" s="3"/>
      <c r="Q89" s="3" t="s">
        <v>395</v>
      </c>
      <c r="R89" s="3" t="s">
        <v>396</v>
      </c>
    </row>
    <row r="90" spans="2:18" s="2" customFormat="1" ht="18" customHeight="1" x14ac:dyDescent="0.2">
      <c r="B90" s="13">
        <f>B89+1</f>
        <v>82</v>
      </c>
      <c r="C90" s="3" t="s">
        <v>22</v>
      </c>
      <c r="D90" s="3">
        <v>170168749</v>
      </c>
      <c r="E90" s="20" t="str">
        <f t="shared" si="5"/>
        <v>170168749</v>
      </c>
      <c r="F90" s="3" t="s">
        <v>11</v>
      </c>
      <c r="G90" s="3" t="s">
        <v>100</v>
      </c>
      <c r="H90" s="20" t="s">
        <v>431</v>
      </c>
      <c r="I90" s="20"/>
      <c r="J90" s="3" t="s">
        <v>128</v>
      </c>
      <c r="K90" s="3" t="s">
        <v>68</v>
      </c>
      <c r="L90" s="3"/>
      <c r="M90" s="3" t="s">
        <v>21</v>
      </c>
      <c r="N90" s="3">
        <v>1</v>
      </c>
      <c r="O90" s="3" t="s">
        <v>15</v>
      </c>
      <c r="P90" s="3"/>
      <c r="Q90" s="3" t="s">
        <v>395</v>
      </c>
      <c r="R90" s="3" t="s">
        <v>396</v>
      </c>
    </row>
    <row r="91" spans="2:18" s="2" customFormat="1" ht="18" customHeight="1" x14ac:dyDescent="0.2">
      <c r="B91" s="19">
        <f>B90+1</f>
        <v>83</v>
      </c>
      <c r="C91" s="18" t="s">
        <v>22</v>
      </c>
      <c r="D91" s="18">
        <v>300000852</v>
      </c>
      <c r="E91" s="20" t="str">
        <f t="shared" si="5"/>
        <v>300000852</v>
      </c>
      <c r="F91" s="18" t="s">
        <v>11</v>
      </c>
      <c r="G91" s="18" t="s">
        <v>23</v>
      </c>
      <c r="H91" s="18" t="s">
        <v>440</v>
      </c>
      <c r="I91" s="18" t="s">
        <v>512</v>
      </c>
      <c r="J91" s="18" t="s">
        <v>129</v>
      </c>
      <c r="K91" s="18" t="s">
        <v>70</v>
      </c>
      <c r="L91" s="18"/>
      <c r="M91" s="18" t="s">
        <v>21</v>
      </c>
      <c r="N91" s="18">
        <v>1</v>
      </c>
      <c r="O91" s="18" t="s">
        <v>38</v>
      </c>
      <c r="P91" s="18"/>
      <c r="Q91" s="18" t="s">
        <v>395</v>
      </c>
      <c r="R91" s="18" t="s">
        <v>346</v>
      </c>
    </row>
    <row r="92" spans="2:18" s="2" customFormat="1" ht="18" customHeight="1" x14ac:dyDescent="0.2">
      <c r="B92" s="13">
        <f>B91+1</f>
        <v>84</v>
      </c>
      <c r="C92" s="3" t="s">
        <v>22</v>
      </c>
      <c r="D92" s="3">
        <v>320000377</v>
      </c>
      <c r="E92" s="20" t="str">
        <f t="shared" si="5"/>
        <v>320000377</v>
      </c>
      <c r="F92" s="3" t="s">
        <v>11</v>
      </c>
      <c r="G92" s="3" t="s">
        <v>130</v>
      </c>
      <c r="H92" s="20" t="s">
        <v>441</v>
      </c>
      <c r="I92" s="20"/>
      <c r="J92" s="3" t="s">
        <v>131</v>
      </c>
      <c r="K92" s="3" t="s">
        <v>83</v>
      </c>
      <c r="L92" s="3"/>
      <c r="M92" s="3" t="s">
        <v>21</v>
      </c>
      <c r="N92" s="3">
        <v>1</v>
      </c>
      <c r="O92" s="3" t="s">
        <v>15</v>
      </c>
      <c r="P92" s="3"/>
      <c r="Q92" s="3" t="s">
        <v>395</v>
      </c>
      <c r="R92" s="3" t="s">
        <v>346</v>
      </c>
    </row>
    <row r="93" spans="2:18" s="2" customFormat="1" ht="18" customHeight="1" x14ac:dyDescent="0.2">
      <c r="B93" s="19">
        <f>B92+1</f>
        <v>85</v>
      </c>
      <c r="C93" s="18" t="s">
        <v>22</v>
      </c>
      <c r="D93" s="18">
        <v>340001871</v>
      </c>
      <c r="E93" s="20" t="str">
        <f t="shared" si="5"/>
        <v>340001871</v>
      </c>
      <c r="F93" s="18" t="s">
        <v>11</v>
      </c>
      <c r="G93" s="18" t="s">
        <v>495</v>
      </c>
      <c r="H93" s="18" t="s">
        <v>442</v>
      </c>
      <c r="I93" s="18" t="s">
        <v>512</v>
      </c>
      <c r="J93" s="18" t="s">
        <v>389</v>
      </c>
      <c r="K93" s="18" t="s">
        <v>76</v>
      </c>
      <c r="L93" s="18"/>
      <c r="M93" s="18" t="s">
        <v>18</v>
      </c>
      <c r="N93" s="18">
        <v>2</v>
      </c>
      <c r="O93" s="18" t="s">
        <v>38</v>
      </c>
      <c r="P93" s="18"/>
      <c r="Q93" s="18" t="s">
        <v>395</v>
      </c>
      <c r="R93" s="18" t="s">
        <v>346</v>
      </c>
    </row>
    <row r="94" spans="2:18" s="2" customFormat="1" ht="18" customHeight="1" x14ac:dyDescent="0.2">
      <c r="B94" s="28">
        <f>B93+1</f>
        <v>86</v>
      </c>
      <c r="C94" s="24" t="s">
        <v>22</v>
      </c>
      <c r="D94" s="24">
        <v>3402049</v>
      </c>
      <c r="E94" s="29" t="str">
        <f t="shared" si="5"/>
        <v>3402049</v>
      </c>
      <c r="F94" s="24" t="s">
        <v>11</v>
      </c>
      <c r="G94" s="24" t="s">
        <v>60</v>
      </c>
      <c r="H94" s="24" t="e">
        <v>#N/A</v>
      </c>
      <c r="I94" s="4" t="s">
        <v>516</v>
      </c>
      <c r="J94" s="24" t="s">
        <v>105</v>
      </c>
      <c r="K94" s="24" t="s">
        <v>77</v>
      </c>
      <c r="L94" s="24"/>
      <c r="M94" s="24" t="s">
        <v>21</v>
      </c>
      <c r="N94" s="24">
        <v>1</v>
      </c>
      <c r="O94" s="24" t="s">
        <v>15</v>
      </c>
      <c r="P94" s="24"/>
      <c r="Q94" s="24" t="s">
        <v>395</v>
      </c>
      <c r="R94" s="24" t="s">
        <v>346</v>
      </c>
    </row>
    <row r="95" spans="2:18" s="2" customFormat="1" ht="18" customHeight="1" x14ac:dyDescent="0.2">
      <c r="B95" s="19" t="str">
        <f>"86-1"</f>
        <v>86-1</v>
      </c>
      <c r="C95" s="18">
        <v>2</v>
      </c>
      <c r="D95" s="18">
        <v>340216341</v>
      </c>
      <c r="E95" s="20" t="str">
        <f t="shared" si="5"/>
        <v>340216341</v>
      </c>
      <c r="F95" s="18"/>
      <c r="G95" s="18"/>
      <c r="H95" s="18" t="s">
        <v>506</v>
      </c>
      <c r="I95" s="18" t="s">
        <v>516</v>
      </c>
      <c r="J95" s="18" t="s">
        <v>514</v>
      </c>
      <c r="K95" s="18"/>
      <c r="L95" s="18"/>
      <c r="M95" s="18"/>
      <c r="N95" s="18"/>
      <c r="O95" s="18"/>
      <c r="P95" s="18"/>
      <c r="Q95" s="18"/>
      <c r="R95" s="18"/>
    </row>
    <row r="96" spans="2:18" s="2" customFormat="1" ht="18" customHeight="1" x14ac:dyDescent="0.2">
      <c r="B96" s="13">
        <f>B94+1</f>
        <v>87</v>
      </c>
      <c r="C96" s="3" t="s">
        <v>22</v>
      </c>
      <c r="D96" s="3">
        <v>350001184</v>
      </c>
      <c r="E96" s="20" t="str">
        <f t="shared" si="5"/>
        <v>350001184</v>
      </c>
      <c r="F96" s="3" t="s">
        <v>11</v>
      </c>
      <c r="G96" s="3" t="s">
        <v>60</v>
      </c>
      <c r="H96" s="20" t="s">
        <v>422</v>
      </c>
      <c r="I96" s="20"/>
      <c r="J96" s="3" t="s">
        <v>108</v>
      </c>
      <c r="K96" s="3" t="s">
        <v>93</v>
      </c>
      <c r="L96" s="3"/>
      <c r="M96" s="3" t="s">
        <v>55</v>
      </c>
      <c r="N96" s="3">
        <v>4</v>
      </c>
      <c r="O96" s="3" t="s">
        <v>15</v>
      </c>
      <c r="P96" s="3"/>
      <c r="Q96" s="3" t="s">
        <v>395</v>
      </c>
      <c r="R96" s="3" t="s">
        <v>346</v>
      </c>
    </row>
    <row r="97" spans="2:18" s="2" customFormat="1" ht="18" customHeight="1" x14ac:dyDescent="0.2">
      <c r="B97" s="13">
        <f t="shared" ref="B97:B106" si="7">B96+1</f>
        <v>88</v>
      </c>
      <c r="C97" s="3" t="s">
        <v>22</v>
      </c>
      <c r="D97" s="3">
        <v>430000724</v>
      </c>
      <c r="E97" s="20" t="str">
        <f t="shared" si="5"/>
        <v>430000724</v>
      </c>
      <c r="F97" s="3" t="s">
        <v>11</v>
      </c>
      <c r="G97" s="3" t="s">
        <v>109</v>
      </c>
      <c r="H97" s="20" t="s">
        <v>432</v>
      </c>
      <c r="I97" s="20"/>
      <c r="J97" s="3" t="s">
        <v>110</v>
      </c>
      <c r="K97" s="3" t="s">
        <v>14</v>
      </c>
      <c r="L97" s="3"/>
      <c r="M97" s="3" t="s">
        <v>55</v>
      </c>
      <c r="N97" s="3">
        <v>4</v>
      </c>
      <c r="O97" s="3" t="s">
        <v>15</v>
      </c>
      <c r="P97" s="3"/>
      <c r="Q97" s="3" t="s">
        <v>395</v>
      </c>
      <c r="R97" s="3" t="s">
        <v>346</v>
      </c>
    </row>
    <row r="98" spans="2:18" s="2" customFormat="1" ht="18" customHeight="1" x14ac:dyDescent="0.2">
      <c r="B98" s="13">
        <f t="shared" si="7"/>
        <v>89</v>
      </c>
      <c r="C98" s="3" t="s">
        <v>22</v>
      </c>
      <c r="D98" s="3" t="s">
        <v>368</v>
      </c>
      <c r="E98" s="20" t="str">
        <f t="shared" si="5"/>
        <v>44S0093</v>
      </c>
      <c r="F98" s="3" t="s">
        <v>11</v>
      </c>
      <c r="G98" s="3" t="s">
        <v>111</v>
      </c>
      <c r="H98" s="20" t="s">
        <v>433</v>
      </c>
      <c r="I98" s="20"/>
      <c r="J98" s="3" t="s">
        <v>112</v>
      </c>
      <c r="K98" s="3" t="s">
        <v>14</v>
      </c>
      <c r="L98" s="3"/>
      <c r="M98" s="3" t="s">
        <v>132</v>
      </c>
      <c r="N98" s="3">
        <v>8</v>
      </c>
      <c r="O98" s="3" t="s">
        <v>15</v>
      </c>
      <c r="P98" s="3"/>
      <c r="Q98" s="3" t="s">
        <v>395</v>
      </c>
      <c r="R98" s="3" t="s">
        <v>346</v>
      </c>
    </row>
    <row r="99" spans="2:18" s="2" customFormat="1" ht="18" customHeight="1" x14ac:dyDescent="0.2">
      <c r="B99" s="13">
        <f t="shared" si="7"/>
        <v>90</v>
      </c>
      <c r="C99" s="3" t="s">
        <v>22</v>
      </c>
      <c r="D99" s="3">
        <v>9200106</v>
      </c>
      <c r="E99" s="20" t="str">
        <f t="shared" ref="E99:E122" si="8">TRIM(D99)</f>
        <v>9200106</v>
      </c>
      <c r="F99" s="3" t="s">
        <v>11</v>
      </c>
      <c r="G99" s="3" t="s">
        <v>113</v>
      </c>
      <c r="H99" s="20" t="s">
        <v>434</v>
      </c>
      <c r="I99" s="20"/>
      <c r="J99" s="3" t="s">
        <v>114</v>
      </c>
      <c r="K99" s="3" t="s">
        <v>133</v>
      </c>
      <c r="L99" s="3"/>
      <c r="M99" s="3" t="s">
        <v>25</v>
      </c>
      <c r="N99" s="3">
        <v>0</v>
      </c>
      <c r="O99" s="3" t="s">
        <v>15</v>
      </c>
      <c r="P99" s="3"/>
      <c r="Q99" s="3" t="s">
        <v>395</v>
      </c>
      <c r="R99" s="3" t="s">
        <v>346</v>
      </c>
    </row>
    <row r="100" spans="2:18" s="2" customFormat="1" ht="18" customHeight="1" x14ac:dyDescent="0.2">
      <c r="B100" s="19">
        <f t="shared" si="7"/>
        <v>91</v>
      </c>
      <c r="C100" s="18" t="s">
        <v>16</v>
      </c>
      <c r="D100" s="18">
        <v>110144610</v>
      </c>
      <c r="E100" s="20" t="str">
        <f t="shared" si="8"/>
        <v>110144610</v>
      </c>
      <c r="F100" s="18" t="s">
        <v>11</v>
      </c>
      <c r="G100" s="27" t="s">
        <v>134</v>
      </c>
      <c r="H100" s="27" t="s">
        <v>443</v>
      </c>
      <c r="I100" s="27" t="s">
        <v>523</v>
      </c>
      <c r="J100" s="18" t="s">
        <v>135</v>
      </c>
      <c r="K100" s="18" t="s">
        <v>14</v>
      </c>
      <c r="L100" s="18"/>
      <c r="M100" s="18" t="s">
        <v>21</v>
      </c>
      <c r="N100" s="18">
        <v>1</v>
      </c>
      <c r="O100" s="18" t="s">
        <v>38</v>
      </c>
      <c r="P100" s="18"/>
      <c r="Q100" s="18" t="s">
        <v>354</v>
      </c>
      <c r="R100" s="18" t="s">
        <v>354</v>
      </c>
    </row>
    <row r="101" spans="2:18" s="2" customFormat="1" ht="18" customHeight="1" x14ac:dyDescent="0.2">
      <c r="B101" s="13">
        <f t="shared" si="7"/>
        <v>92</v>
      </c>
      <c r="C101" s="3" t="s">
        <v>22</v>
      </c>
      <c r="D101" s="3">
        <v>170168748</v>
      </c>
      <c r="E101" s="20" t="str">
        <f t="shared" si="8"/>
        <v>170168748</v>
      </c>
      <c r="F101" s="3" t="s">
        <v>11</v>
      </c>
      <c r="G101" s="3" t="s">
        <v>29</v>
      </c>
      <c r="H101" s="20" t="s">
        <v>439</v>
      </c>
      <c r="I101" s="20"/>
      <c r="J101" s="3" t="s">
        <v>126</v>
      </c>
      <c r="K101" s="3" t="s">
        <v>127</v>
      </c>
      <c r="L101" s="3"/>
      <c r="M101" s="3" t="s">
        <v>21</v>
      </c>
      <c r="N101" s="3">
        <v>1</v>
      </c>
      <c r="O101" s="3" t="s">
        <v>38</v>
      </c>
      <c r="P101" s="3"/>
      <c r="Q101" s="3" t="s">
        <v>395</v>
      </c>
      <c r="R101" s="3" t="s">
        <v>396</v>
      </c>
    </row>
    <row r="102" spans="2:18" s="2" customFormat="1" ht="18" customHeight="1" x14ac:dyDescent="0.2">
      <c r="B102" s="13">
        <f t="shared" si="7"/>
        <v>93</v>
      </c>
      <c r="C102" s="3" t="s">
        <v>22</v>
      </c>
      <c r="D102" s="3">
        <v>170168750</v>
      </c>
      <c r="E102" s="20" t="str">
        <f t="shared" si="8"/>
        <v>170168750</v>
      </c>
      <c r="F102" s="3" t="s">
        <v>11</v>
      </c>
      <c r="G102" s="3" t="s">
        <v>60</v>
      </c>
      <c r="H102" s="20" t="s">
        <v>422</v>
      </c>
      <c r="I102" s="20"/>
      <c r="J102" s="3" t="s">
        <v>136</v>
      </c>
      <c r="K102" s="3" t="s">
        <v>68</v>
      </c>
      <c r="L102" s="3"/>
      <c r="M102" s="3" t="s">
        <v>21</v>
      </c>
      <c r="N102" s="3">
        <v>1</v>
      </c>
      <c r="O102" s="3" t="s">
        <v>15</v>
      </c>
      <c r="P102" s="3"/>
      <c r="Q102" s="3" t="s">
        <v>395</v>
      </c>
      <c r="R102" s="3" t="s">
        <v>396</v>
      </c>
    </row>
    <row r="103" spans="2:18" s="2" customFormat="1" ht="18" customHeight="1" x14ac:dyDescent="0.2">
      <c r="B103" s="13">
        <f t="shared" si="7"/>
        <v>94</v>
      </c>
      <c r="C103" s="3" t="s">
        <v>22</v>
      </c>
      <c r="D103" s="3">
        <v>300000852</v>
      </c>
      <c r="E103" s="20" t="str">
        <f t="shared" si="8"/>
        <v>300000852</v>
      </c>
      <c r="F103" s="3" t="s">
        <v>11</v>
      </c>
      <c r="G103" s="3" t="s">
        <v>23</v>
      </c>
      <c r="H103" s="20" t="s">
        <v>440</v>
      </c>
      <c r="I103" s="20"/>
      <c r="J103" s="3" t="s">
        <v>129</v>
      </c>
      <c r="K103" s="3" t="s">
        <v>70</v>
      </c>
      <c r="L103" s="3"/>
      <c r="M103" s="3" t="s">
        <v>21</v>
      </c>
      <c r="N103" s="3">
        <v>1</v>
      </c>
      <c r="O103" s="3" t="s">
        <v>38</v>
      </c>
      <c r="P103" s="3"/>
      <c r="Q103" s="3" t="s">
        <v>395</v>
      </c>
      <c r="R103" s="3" t="s">
        <v>346</v>
      </c>
    </row>
    <row r="104" spans="2:18" s="2" customFormat="1" ht="18" customHeight="1" x14ac:dyDescent="0.2">
      <c r="B104" s="13">
        <f t="shared" si="7"/>
        <v>95</v>
      </c>
      <c r="C104" s="3" t="s">
        <v>22</v>
      </c>
      <c r="D104" s="3">
        <v>320000377</v>
      </c>
      <c r="E104" s="20" t="str">
        <f t="shared" si="8"/>
        <v>320000377</v>
      </c>
      <c r="F104" s="3" t="s">
        <v>11</v>
      </c>
      <c r="G104" s="3" t="s">
        <v>130</v>
      </c>
      <c r="H104" s="20" t="s">
        <v>441</v>
      </c>
      <c r="I104" s="20"/>
      <c r="J104" s="3" t="s">
        <v>131</v>
      </c>
      <c r="K104" s="3" t="s">
        <v>83</v>
      </c>
      <c r="L104" s="3"/>
      <c r="M104" s="3" t="s">
        <v>21</v>
      </c>
      <c r="N104" s="3">
        <v>1</v>
      </c>
      <c r="O104" s="3" t="s">
        <v>15</v>
      </c>
      <c r="P104" s="3"/>
      <c r="Q104" s="3" t="s">
        <v>353</v>
      </c>
      <c r="R104" s="3" t="s">
        <v>346</v>
      </c>
    </row>
    <row r="105" spans="2:18" s="2" customFormat="1" ht="18" customHeight="1" x14ac:dyDescent="0.2">
      <c r="B105" s="13">
        <f t="shared" si="7"/>
        <v>96</v>
      </c>
      <c r="C105" s="3" t="s">
        <v>22</v>
      </c>
      <c r="D105" s="3">
        <v>340001871</v>
      </c>
      <c r="E105" s="20" t="str">
        <f t="shared" si="8"/>
        <v>340001871</v>
      </c>
      <c r="F105" s="3" t="s">
        <v>11</v>
      </c>
      <c r="G105" s="3" t="s">
        <v>23</v>
      </c>
      <c r="H105" s="20" t="s">
        <v>442</v>
      </c>
      <c r="I105" s="20"/>
      <c r="J105" s="3" t="s">
        <v>369</v>
      </c>
      <c r="K105" s="3" t="s">
        <v>106</v>
      </c>
      <c r="L105" s="3"/>
      <c r="M105" s="3" t="s">
        <v>18</v>
      </c>
      <c r="N105" s="3">
        <v>2</v>
      </c>
      <c r="O105" s="3" t="s">
        <v>38</v>
      </c>
      <c r="P105" s="3"/>
      <c r="Q105" s="3" t="s">
        <v>395</v>
      </c>
      <c r="R105" s="3" t="s">
        <v>346</v>
      </c>
    </row>
    <row r="106" spans="2:18" s="2" customFormat="1" ht="18" customHeight="1" x14ac:dyDescent="0.2">
      <c r="B106" s="28">
        <f t="shared" si="7"/>
        <v>97</v>
      </c>
      <c r="C106" s="24" t="s">
        <v>22</v>
      </c>
      <c r="D106" s="24">
        <v>3402049</v>
      </c>
      <c r="E106" s="29" t="str">
        <f t="shared" si="8"/>
        <v>3402049</v>
      </c>
      <c r="F106" s="24" t="s">
        <v>11</v>
      </c>
      <c r="G106" s="24" t="s">
        <v>60</v>
      </c>
      <c r="H106" s="24" t="e">
        <v>#N/A</v>
      </c>
      <c r="I106" s="4" t="s">
        <v>516</v>
      </c>
      <c r="J106" s="24" t="s">
        <v>105</v>
      </c>
      <c r="K106" s="24" t="s">
        <v>76</v>
      </c>
      <c r="L106" s="24"/>
      <c r="M106" s="24" t="s">
        <v>21</v>
      </c>
      <c r="N106" s="24">
        <v>1</v>
      </c>
      <c r="O106" s="24" t="s">
        <v>15</v>
      </c>
      <c r="P106" s="24"/>
      <c r="Q106" s="24" t="s">
        <v>395</v>
      </c>
      <c r="R106" s="24" t="s">
        <v>346</v>
      </c>
    </row>
    <row r="107" spans="2:18" s="2" customFormat="1" ht="18" customHeight="1" x14ac:dyDescent="0.2">
      <c r="B107" s="19" t="str">
        <f>"97-1"</f>
        <v>97-1</v>
      </c>
      <c r="C107" s="18">
        <v>2</v>
      </c>
      <c r="D107" s="18">
        <v>340216341</v>
      </c>
      <c r="E107" s="20" t="str">
        <f t="shared" si="8"/>
        <v>340216341</v>
      </c>
      <c r="F107" s="18"/>
      <c r="G107" s="18"/>
      <c r="H107" s="18" t="s">
        <v>506</v>
      </c>
      <c r="I107" s="18" t="s">
        <v>516</v>
      </c>
      <c r="J107" s="18" t="s">
        <v>514</v>
      </c>
      <c r="K107" s="18"/>
      <c r="L107" s="18"/>
      <c r="M107" s="18"/>
      <c r="N107" s="18"/>
      <c r="O107" s="18"/>
      <c r="P107" s="18"/>
      <c r="Q107" s="18"/>
      <c r="R107" s="18"/>
    </row>
    <row r="108" spans="2:18" s="2" customFormat="1" ht="18" customHeight="1" x14ac:dyDescent="0.2">
      <c r="B108" s="13">
        <f>B106+1</f>
        <v>98</v>
      </c>
      <c r="C108" s="3" t="s">
        <v>22</v>
      </c>
      <c r="D108" s="3">
        <v>350001184</v>
      </c>
      <c r="E108" s="20" t="str">
        <f t="shared" si="8"/>
        <v>350001184</v>
      </c>
      <c r="F108" s="3" t="s">
        <v>11</v>
      </c>
      <c r="G108" s="3" t="s">
        <v>60</v>
      </c>
      <c r="H108" s="20" t="s">
        <v>422</v>
      </c>
      <c r="I108" s="20"/>
      <c r="J108" s="3" t="s">
        <v>108</v>
      </c>
      <c r="K108" s="3" t="s">
        <v>77</v>
      </c>
      <c r="L108" s="3"/>
      <c r="M108" s="3" t="s">
        <v>55</v>
      </c>
      <c r="N108" s="3">
        <v>4</v>
      </c>
      <c r="O108" s="3" t="s">
        <v>15</v>
      </c>
      <c r="P108" s="3"/>
      <c r="Q108" s="3" t="s">
        <v>395</v>
      </c>
      <c r="R108" s="3" t="s">
        <v>346</v>
      </c>
    </row>
    <row r="109" spans="2:18" s="2" customFormat="1" ht="18" customHeight="1" x14ac:dyDescent="0.2">
      <c r="B109" s="13">
        <f>B108+1</f>
        <v>99</v>
      </c>
      <c r="C109" s="3" t="s">
        <v>22</v>
      </c>
      <c r="D109" s="3">
        <v>430000724</v>
      </c>
      <c r="E109" s="20" t="str">
        <f t="shared" si="8"/>
        <v>430000724</v>
      </c>
      <c r="F109" s="3" t="s">
        <v>11</v>
      </c>
      <c r="G109" s="3" t="s">
        <v>109</v>
      </c>
      <c r="H109" s="20" t="s">
        <v>432</v>
      </c>
      <c r="I109" s="20"/>
      <c r="J109" s="3" t="s">
        <v>110</v>
      </c>
      <c r="K109" s="3" t="s">
        <v>14</v>
      </c>
      <c r="L109" s="3"/>
      <c r="M109" s="3" t="s">
        <v>55</v>
      </c>
      <c r="N109" s="3">
        <v>4</v>
      </c>
      <c r="O109" s="3" t="s">
        <v>15</v>
      </c>
      <c r="P109" s="3"/>
      <c r="Q109" s="3" t="s">
        <v>395</v>
      </c>
      <c r="R109" s="3" t="s">
        <v>346</v>
      </c>
    </row>
    <row r="110" spans="2:18" s="2" customFormat="1" ht="18" customHeight="1" x14ac:dyDescent="0.2">
      <c r="B110" s="13">
        <f>B109+1</f>
        <v>100</v>
      </c>
      <c r="C110" s="3" t="s">
        <v>22</v>
      </c>
      <c r="D110" s="3" t="s">
        <v>367</v>
      </c>
      <c r="E110" s="20" t="str">
        <f t="shared" si="8"/>
        <v>44S0093</v>
      </c>
      <c r="F110" s="3" t="s">
        <v>11</v>
      </c>
      <c r="G110" s="3" t="s">
        <v>111</v>
      </c>
      <c r="H110" s="20" t="s">
        <v>433</v>
      </c>
      <c r="I110" s="20"/>
      <c r="J110" s="3" t="s">
        <v>112</v>
      </c>
      <c r="K110" s="3" t="s">
        <v>14</v>
      </c>
      <c r="L110" s="3"/>
      <c r="M110" s="3" t="s">
        <v>132</v>
      </c>
      <c r="N110" s="3">
        <v>8</v>
      </c>
      <c r="O110" s="3" t="s">
        <v>15</v>
      </c>
      <c r="P110" s="3"/>
      <c r="Q110" s="3" t="s">
        <v>395</v>
      </c>
      <c r="R110" s="3" t="s">
        <v>346</v>
      </c>
    </row>
    <row r="111" spans="2:18" s="2" customFormat="1" ht="18" customHeight="1" x14ac:dyDescent="0.25">
      <c r="B111" s="19" t="str">
        <f>"100-1"</f>
        <v>100-1</v>
      </c>
      <c r="C111" s="18">
        <v>2</v>
      </c>
      <c r="D111" s="30" t="s">
        <v>515</v>
      </c>
      <c r="E111" s="20" t="str">
        <f t="shared" si="8"/>
        <v>900000909</v>
      </c>
      <c r="F111" s="18" t="s">
        <v>11</v>
      </c>
      <c r="G111" s="18"/>
      <c r="H111" s="18" t="s">
        <v>506</v>
      </c>
      <c r="I111" s="18" t="s">
        <v>513</v>
      </c>
      <c r="J111" s="18" t="s">
        <v>521</v>
      </c>
      <c r="K111" s="18"/>
      <c r="L111" s="18"/>
      <c r="M111" s="18" t="s">
        <v>517</v>
      </c>
      <c r="N111" s="18"/>
      <c r="O111" s="18"/>
      <c r="P111" s="18"/>
      <c r="Q111" s="18"/>
      <c r="R111" s="18"/>
    </row>
    <row r="112" spans="2:18" s="2" customFormat="1" ht="18" customHeight="1" x14ac:dyDescent="0.2">
      <c r="B112" s="13">
        <f>B110+1</f>
        <v>101</v>
      </c>
      <c r="C112" s="3" t="s">
        <v>22</v>
      </c>
      <c r="D112" s="3">
        <v>9200106</v>
      </c>
      <c r="E112" s="20" t="str">
        <f t="shared" si="8"/>
        <v>9200106</v>
      </c>
      <c r="F112" s="3" t="s">
        <v>11</v>
      </c>
      <c r="G112" s="3" t="s">
        <v>113</v>
      </c>
      <c r="H112" s="20" t="s">
        <v>434</v>
      </c>
      <c r="I112" s="20"/>
      <c r="J112" s="3" t="s">
        <v>114</v>
      </c>
      <c r="K112" s="3" t="s">
        <v>90</v>
      </c>
      <c r="L112" s="3"/>
      <c r="M112" s="3" t="s">
        <v>25</v>
      </c>
      <c r="N112" s="3">
        <v>0</v>
      </c>
      <c r="O112" s="3" t="s">
        <v>15</v>
      </c>
      <c r="P112" s="3"/>
      <c r="Q112" s="3" t="s">
        <v>395</v>
      </c>
      <c r="R112" s="3" t="s">
        <v>346</v>
      </c>
    </row>
    <row r="113" spans="2:18" s="2" customFormat="1" ht="18" customHeight="1" x14ac:dyDescent="0.2">
      <c r="B113" s="19">
        <f t="shared" ref="B113:B119" si="9">B112+1</f>
        <v>102</v>
      </c>
      <c r="C113" s="18" t="s">
        <v>16</v>
      </c>
      <c r="D113" s="18">
        <v>110144620</v>
      </c>
      <c r="E113" s="20" t="str">
        <f t="shared" si="8"/>
        <v>110144620</v>
      </c>
      <c r="F113" s="18" t="s">
        <v>11</v>
      </c>
      <c r="G113" s="27" t="s">
        <v>98</v>
      </c>
      <c r="H113" s="27" t="s">
        <v>443</v>
      </c>
      <c r="I113" s="27" t="s">
        <v>523</v>
      </c>
      <c r="J113" s="18" t="s">
        <v>137</v>
      </c>
      <c r="K113" s="18" t="s">
        <v>14</v>
      </c>
      <c r="L113" s="18"/>
      <c r="M113" s="18" t="s">
        <v>21</v>
      </c>
      <c r="N113" s="18">
        <v>1</v>
      </c>
      <c r="O113" s="18" t="s">
        <v>38</v>
      </c>
      <c r="P113" s="18"/>
      <c r="Q113" s="18" t="s">
        <v>354</v>
      </c>
      <c r="R113" s="18" t="s">
        <v>354</v>
      </c>
    </row>
    <row r="114" spans="2:18" s="2" customFormat="1" ht="18" customHeight="1" x14ac:dyDescent="0.2">
      <c r="B114" s="13">
        <f t="shared" si="9"/>
        <v>103</v>
      </c>
      <c r="C114" s="3" t="s">
        <v>22</v>
      </c>
      <c r="D114" s="3">
        <v>170168746</v>
      </c>
      <c r="E114" s="20" t="str">
        <f t="shared" si="8"/>
        <v>170168746</v>
      </c>
      <c r="F114" s="3" t="s">
        <v>11</v>
      </c>
      <c r="G114" s="3" t="s">
        <v>60</v>
      </c>
      <c r="H114" s="20" t="s">
        <v>422</v>
      </c>
      <c r="I114" s="20"/>
      <c r="J114" s="3" t="s">
        <v>138</v>
      </c>
      <c r="K114" s="3" t="s">
        <v>68</v>
      </c>
      <c r="L114" s="3"/>
      <c r="M114" s="3" t="s">
        <v>21</v>
      </c>
      <c r="N114" s="3">
        <v>1</v>
      </c>
      <c r="O114" s="3" t="s">
        <v>15</v>
      </c>
      <c r="P114" s="3"/>
      <c r="Q114" s="3" t="s">
        <v>395</v>
      </c>
      <c r="R114" s="3" t="s">
        <v>396</v>
      </c>
    </row>
    <row r="115" spans="2:18" s="2" customFormat="1" ht="18" customHeight="1" x14ac:dyDescent="0.2">
      <c r="B115" s="13">
        <f t="shared" si="9"/>
        <v>104</v>
      </c>
      <c r="C115" s="3" t="s">
        <v>22</v>
      </c>
      <c r="D115" s="3">
        <v>170168753</v>
      </c>
      <c r="E115" s="20" t="str">
        <f t="shared" si="8"/>
        <v>170168753</v>
      </c>
      <c r="F115" s="3" t="s">
        <v>11</v>
      </c>
      <c r="G115" s="3" t="s">
        <v>29</v>
      </c>
      <c r="H115" s="20" t="s">
        <v>412</v>
      </c>
      <c r="I115" s="20"/>
      <c r="J115" s="3" t="s">
        <v>139</v>
      </c>
      <c r="K115" s="3" t="s">
        <v>14</v>
      </c>
      <c r="L115" s="3"/>
      <c r="M115" s="3" t="s">
        <v>21</v>
      </c>
      <c r="N115" s="3">
        <v>1</v>
      </c>
      <c r="O115" s="3" t="s">
        <v>15</v>
      </c>
      <c r="P115" s="3"/>
      <c r="Q115" s="3" t="s">
        <v>395</v>
      </c>
      <c r="R115" s="3" t="s">
        <v>396</v>
      </c>
    </row>
    <row r="116" spans="2:18" s="2" customFormat="1" ht="18" customHeight="1" x14ac:dyDescent="0.2">
      <c r="B116" s="28">
        <f t="shared" si="9"/>
        <v>105</v>
      </c>
      <c r="C116" s="24" t="s">
        <v>22</v>
      </c>
      <c r="D116" s="24" t="s">
        <v>378</v>
      </c>
      <c r="E116" s="29" t="str">
        <f t="shared" si="8"/>
        <v>2001-0022-0011</v>
      </c>
      <c r="F116" s="24" t="s">
        <v>11</v>
      </c>
      <c r="G116" s="24" t="s">
        <v>23</v>
      </c>
      <c r="H116" s="24" t="e">
        <v>#N/A</v>
      </c>
      <c r="I116" s="4" t="s">
        <v>518</v>
      </c>
      <c r="J116" s="24" t="s">
        <v>388</v>
      </c>
      <c r="K116" s="24" t="s">
        <v>70</v>
      </c>
      <c r="L116" s="24"/>
      <c r="M116" s="24" t="s">
        <v>21</v>
      </c>
      <c r="N116" s="24">
        <v>1</v>
      </c>
      <c r="O116" s="24" t="s">
        <v>15</v>
      </c>
      <c r="P116" s="24"/>
      <c r="Q116" s="24" t="s">
        <v>395</v>
      </c>
      <c r="R116" s="24" t="s">
        <v>346</v>
      </c>
    </row>
    <row r="117" spans="2:18" s="2" customFormat="1" ht="18" customHeight="1" x14ac:dyDescent="0.2">
      <c r="B117" s="13">
        <f t="shared" si="9"/>
        <v>106</v>
      </c>
      <c r="C117" s="3" t="s">
        <v>22</v>
      </c>
      <c r="D117" s="3">
        <v>300000069</v>
      </c>
      <c r="E117" s="20" t="str">
        <f t="shared" si="8"/>
        <v>300000069</v>
      </c>
      <c r="F117" s="3" t="s">
        <v>11</v>
      </c>
      <c r="G117" s="3" t="s">
        <v>141</v>
      </c>
      <c r="H117" s="20" t="s">
        <v>442</v>
      </c>
      <c r="I117" s="20"/>
      <c r="J117" s="3" t="s">
        <v>142</v>
      </c>
      <c r="K117" s="3" t="s">
        <v>83</v>
      </c>
      <c r="L117" s="3"/>
      <c r="M117" s="3" t="s">
        <v>21</v>
      </c>
      <c r="N117" s="3">
        <v>1</v>
      </c>
      <c r="O117" s="3" t="s">
        <v>15</v>
      </c>
      <c r="P117" s="3"/>
      <c r="Q117" s="3" t="s">
        <v>395</v>
      </c>
      <c r="R117" s="3" t="s">
        <v>346</v>
      </c>
    </row>
    <row r="118" spans="2:18" s="2" customFormat="1" ht="18" customHeight="1" x14ac:dyDescent="0.2">
      <c r="B118" s="13">
        <f t="shared" si="9"/>
        <v>107</v>
      </c>
      <c r="C118" s="3" t="s">
        <v>22</v>
      </c>
      <c r="D118" s="3">
        <v>320000363</v>
      </c>
      <c r="E118" s="20" t="str">
        <f t="shared" si="8"/>
        <v>320000363</v>
      </c>
      <c r="F118" s="3" t="s">
        <v>11</v>
      </c>
      <c r="G118" s="3" t="s">
        <v>29</v>
      </c>
      <c r="H118" s="20" t="s">
        <v>412</v>
      </c>
      <c r="I118" s="20"/>
      <c r="J118" s="3" t="s">
        <v>103</v>
      </c>
      <c r="K118" s="3" t="s">
        <v>106</v>
      </c>
      <c r="L118" s="3"/>
      <c r="M118" s="3" t="s">
        <v>21</v>
      </c>
      <c r="N118" s="3">
        <v>1</v>
      </c>
      <c r="O118" s="3" t="s">
        <v>15</v>
      </c>
      <c r="P118" s="3"/>
      <c r="Q118" s="3" t="s">
        <v>395</v>
      </c>
      <c r="R118" s="3" t="s">
        <v>346</v>
      </c>
    </row>
    <row r="119" spans="2:18" s="2" customFormat="1" ht="18" customHeight="1" x14ac:dyDescent="0.2">
      <c r="B119" s="13">
        <f t="shared" si="9"/>
        <v>108</v>
      </c>
      <c r="C119" s="3" t="s">
        <v>22</v>
      </c>
      <c r="D119" s="3">
        <v>340001643</v>
      </c>
      <c r="E119" s="20" t="str">
        <f t="shared" si="8"/>
        <v>340001643</v>
      </c>
      <c r="F119" s="3" t="s">
        <v>11</v>
      </c>
      <c r="G119" s="3" t="s">
        <v>23</v>
      </c>
      <c r="H119" s="20" t="s">
        <v>410</v>
      </c>
      <c r="I119" s="20"/>
      <c r="J119" s="3" t="s">
        <v>143</v>
      </c>
      <c r="K119" s="3" t="s">
        <v>76</v>
      </c>
      <c r="L119" s="3"/>
      <c r="M119" s="3" t="s">
        <v>21</v>
      </c>
      <c r="N119" s="3">
        <v>1</v>
      </c>
      <c r="O119" s="3" t="s">
        <v>15</v>
      </c>
      <c r="P119" s="3"/>
      <c r="Q119" s="3" t="s">
        <v>395</v>
      </c>
      <c r="R119" s="3" t="s">
        <v>346</v>
      </c>
    </row>
    <row r="120" spans="2:18" s="2" customFormat="1" ht="18" customHeight="1" x14ac:dyDescent="0.2">
      <c r="B120" s="19" t="s">
        <v>519</v>
      </c>
      <c r="C120" s="18" t="s">
        <v>22</v>
      </c>
      <c r="D120" s="18">
        <v>340001871</v>
      </c>
      <c r="E120" s="20" t="str">
        <f t="shared" si="8"/>
        <v>340001871</v>
      </c>
      <c r="F120" s="18" t="s">
        <v>11</v>
      </c>
      <c r="G120" s="18" t="s">
        <v>495</v>
      </c>
      <c r="H120" s="18" t="s">
        <v>442</v>
      </c>
      <c r="I120" s="18" t="s">
        <v>520</v>
      </c>
      <c r="J120" s="18" t="s">
        <v>369</v>
      </c>
      <c r="K120" s="18" t="s">
        <v>76</v>
      </c>
      <c r="L120" s="18"/>
      <c r="M120" s="18" t="s">
        <v>18</v>
      </c>
      <c r="N120" s="18">
        <v>2</v>
      </c>
      <c r="O120" s="18" t="s">
        <v>38</v>
      </c>
      <c r="P120" s="18"/>
      <c r="Q120" s="18" t="s">
        <v>346</v>
      </c>
      <c r="R120" s="18" t="s">
        <v>346</v>
      </c>
    </row>
    <row r="121" spans="2:18" s="2" customFormat="1" ht="18" customHeight="1" x14ac:dyDescent="0.2">
      <c r="B121" s="13">
        <f>B119+1</f>
        <v>109</v>
      </c>
      <c r="C121" s="3" t="s">
        <v>22</v>
      </c>
      <c r="D121" s="3">
        <v>340002212</v>
      </c>
      <c r="E121" s="20" t="str">
        <f t="shared" si="8"/>
        <v>340002212</v>
      </c>
      <c r="F121" s="3" t="s">
        <v>11</v>
      </c>
      <c r="G121" s="3" t="s">
        <v>23</v>
      </c>
      <c r="H121" s="20" t="s">
        <v>410</v>
      </c>
      <c r="I121" s="20"/>
      <c r="J121" s="3" t="s">
        <v>104</v>
      </c>
      <c r="K121" s="3" t="s">
        <v>77</v>
      </c>
      <c r="L121" s="3"/>
      <c r="M121" s="3" t="s">
        <v>18</v>
      </c>
      <c r="N121" s="3">
        <v>2</v>
      </c>
      <c r="O121" s="3" t="s">
        <v>15</v>
      </c>
      <c r="P121" s="3"/>
      <c r="Q121" s="3" t="s">
        <v>395</v>
      </c>
      <c r="R121" s="3" t="s">
        <v>346</v>
      </c>
    </row>
    <row r="122" spans="2:18" s="2" customFormat="1" ht="18" customHeight="1" x14ac:dyDescent="0.2">
      <c r="B122" s="28">
        <f>B121+1</f>
        <v>110</v>
      </c>
      <c r="C122" s="24" t="s">
        <v>22</v>
      </c>
      <c r="D122" s="24" t="s">
        <v>531</v>
      </c>
      <c r="E122" s="24" t="str">
        <f t="shared" si="8"/>
        <v>3400490
→ 340218502</v>
      </c>
      <c r="F122" s="24" t="s">
        <v>11</v>
      </c>
      <c r="G122" s="24" t="s">
        <v>56</v>
      </c>
      <c r="H122" s="24" t="e">
        <v>#N/A</v>
      </c>
      <c r="I122" s="24" t="s">
        <v>527</v>
      </c>
      <c r="J122" s="24" t="s">
        <v>144</v>
      </c>
      <c r="K122" s="24" t="s">
        <v>93</v>
      </c>
      <c r="L122" s="24"/>
      <c r="M122" s="24" t="s">
        <v>21</v>
      </c>
      <c r="N122" s="24">
        <v>1</v>
      </c>
      <c r="O122" s="24" t="s">
        <v>15</v>
      </c>
      <c r="P122" s="24"/>
      <c r="Q122" s="24" t="s">
        <v>395</v>
      </c>
      <c r="R122" s="24" t="s">
        <v>346</v>
      </c>
    </row>
    <row r="123" spans="2:18" s="2" customFormat="1" ht="18" customHeight="1" x14ac:dyDescent="0.2">
      <c r="B123" s="19" t="str">
        <f>"110-1"</f>
        <v>110-1</v>
      </c>
      <c r="C123" s="18">
        <v>2</v>
      </c>
      <c r="D123" s="18">
        <v>340218502</v>
      </c>
      <c r="E123" s="18"/>
      <c r="F123" s="18" t="s">
        <v>11</v>
      </c>
      <c r="G123" s="18"/>
      <c r="H123" s="18" t="s">
        <v>524</v>
      </c>
      <c r="I123" s="18" t="s">
        <v>527</v>
      </c>
      <c r="J123" s="18" t="s">
        <v>525</v>
      </c>
      <c r="K123" s="18"/>
      <c r="L123" s="18"/>
      <c r="M123" s="18"/>
      <c r="N123" s="18">
        <v>1</v>
      </c>
      <c r="O123" s="18" t="s">
        <v>15</v>
      </c>
      <c r="P123" s="18"/>
      <c r="Q123" s="18"/>
      <c r="R123" s="18"/>
    </row>
    <row r="124" spans="2:18" s="2" customFormat="1" ht="18" customHeight="1" x14ac:dyDescent="0.2">
      <c r="B124" s="13">
        <f>B122+1</f>
        <v>111</v>
      </c>
      <c r="C124" s="3" t="s">
        <v>22</v>
      </c>
      <c r="D124" s="3">
        <v>3400775</v>
      </c>
      <c r="E124" s="20" t="str">
        <f t="shared" ref="E124:E140" si="10">TRIM(D124)</f>
        <v>3400775</v>
      </c>
      <c r="F124" s="3" t="s">
        <v>11</v>
      </c>
      <c r="G124" s="3" t="s">
        <v>34</v>
      </c>
      <c r="H124" s="20" t="s">
        <v>418</v>
      </c>
      <c r="I124" s="20"/>
      <c r="J124" s="3" t="s">
        <v>145</v>
      </c>
      <c r="K124" s="3" t="s">
        <v>96</v>
      </c>
      <c r="L124" s="3"/>
      <c r="M124" s="3" t="s">
        <v>21</v>
      </c>
      <c r="N124" s="3">
        <v>1</v>
      </c>
      <c r="O124" s="3" t="s">
        <v>15</v>
      </c>
      <c r="P124" s="3"/>
      <c r="Q124" s="3" t="s">
        <v>395</v>
      </c>
      <c r="R124" s="3" t="s">
        <v>346</v>
      </c>
    </row>
    <row r="125" spans="2:18" s="2" customFormat="1" ht="18" customHeight="1" x14ac:dyDescent="0.2">
      <c r="B125" s="13">
        <f>B124+1</f>
        <v>112</v>
      </c>
      <c r="C125" s="3" t="s">
        <v>22</v>
      </c>
      <c r="D125" s="3">
        <v>3402049</v>
      </c>
      <c r="E125" s="20" t="str">
        <f t="shared" si="10"/>
        <v>3402049</v>
      </c>
      <c r="F125" s="3" t="s">
        <v>11</v>
      </c>
      <c r="G125" s="3" t="s">
        <v>60</v>
      </c>
      <c r="H125" s="20" t="e">
        <v>#N/A</v>
      </c>
      <c r="I125" s="20"/>
      <c r="J125" s="3" t="s">
        <v>105</v>
      </c>
      <c r="K125" s="3" t="s">
        <v>72</v>
      </c>
      <c r="L125" s="3"/>
      <c r="M125" s="3" t="s">
        <v>21</v>
      </c>
      <c r="N125" s="3">
        <v>1</v>
      </c>
      <c r="O125" s="3" t="s">
        <v>15</v>
      </c>
      <c r="P125" s="3"/>
      <c r="Q125" s="3" t="s">
        <v>395</v>
      </c>
      <c r="R125" s="3" t="s">
        <v>346</v>
      </c>
    </row>
    <row r="126" spans="2:18" s="2" customFormat="1" ht="18" customHeight="1" x14ac:dyDescent="0.2">
      <c r="B126" s="13">
        <f>B125+1</f>
        <v>113</v>
      </c>
      <c r="C126" s="3" t="s">
        <v>22</v>
      </c>
      <c r="D126" s="3">
        <v>3402419</v>
      </c>
      <c r="E126" s="20" t="str">
        <f t="shared" si="10"/>
        <v>3402419</v>
      </c>
      <c r="F126" s="3" t="s">
        <v>11</v>
      </c>
      <c r="G126" s="3" t="s">
        <v>146</v>
      </c>
      <c r="H126" s="20" t="s">
        <v>444</v>
      </c>
      <c r="J126" s="3" t="s">
        <v>147</v>
      </c>
      <c r="K126" s="3" t="s">
        <v>90</v>
      </c>
      <c r="L126" s="3"/>
      <c r="M126" s="3" t="s">
        <v>21</v>
      </c>
      <c r="N126" s="3">
        <v>1</v>
      </c>
      <c r="O126" s="3" t="s">
        <v>15</v>
      </c>
      <c r="P126" s="3"/>
      <c r="Q126" s="3" t="s">
        <v>395</v>
      </c>
      <c r="R126" s="3" t="s">
        <v>346</v>
      </c>
    </row>
    <row r="127" spans="2:18" s="2" customFormat="1" ht="18" customHeight="1" x14ac:dyDescent="0.2">
      <c r="B127" s="13">
        <f>B126+1</f>
        <v>114</v>
      </c>
      <c r="C127" s="3" t="s">
        <v>22</v>
      </c>
      <c r="D127" s="3">
        <v>350001184</v>
      </c>
      <c r="E127" s="20" t="str">
        <f t="shared" si="10"/>
        <v>350001184</v>
      </c>
      <c r="F127" s="3" t="s">
        <v>11</v>
      </c>
      <c r="G127" s="3" t="s">
        <v>60</v>
      </c>
      <c r="H127" s="20" t="s">
        <v>422</v>
      </c>
      <c r="I127" s="20"/>
      <c r="J127" s="3" t="s">
        <v>108</v>
      </c>
      <c r="K127" s="3" t="s">
        <v>133</v>
      </c>
      <c r="L127" s="3"/>
      <c r="M127" s="3" t="s">
        <v>18</v>
      </c>
      <c r="N127" s="3">
        <v>2</v>
      </c>
      <c r="O127" s="3" t="s">
        <v>15</v>
      </c>
      <c r="P127" s="3"/>
      <c r="Q127" s="3" t="s">
        <v>395</v>
      </c>
      <c r="R127" s="3" t="s">
        <v>346</v>
      </c>
    </row>
    <row r="128" spans="2:18" s="2" customFormat="1" ht="18" customHeight="1" x14ac:dyDescent="0.2">
      <c r="B128" s="13">
        <f>B127+1</f>
        <v>115</v>
      </c>
      <c r="C128" s="3" t="s">
        <v>22</v>
      </c>
      <c r="D128" s="3">
        <v>430000724</v>
      </c>
      <c r="E128" s="20" t="str">
        <f t="shared" si="10"/>
        <v>430000724</v>
      </c>
      <c r="F128" s="3" t="s">
        <v>11</v>
      </c>
      <c r="G128" s="3" t="s">
        <v>109</v>
      </c>
      <c r="H128" s="20" t="s">
        <v>432</v>
      </c>
      <c r="I128" s="20"/>
      <c r="J128" s="3" t="s">
        <v>110</v>
      </c>
      <c r="K128" s="3" t="s">
        <v>14</v>
      </c>
      <c r="L128" s="3"/>
      <c r="M128" s="3" t="s">
        <v>18</v>
      </c>
      <c r="N128" s="3">
        <v>2</v>
      </c>
      <c r="O128" s="3" t="s">
        <v>15</v>
      </c>
      <c r="P128" s="3"/>
      <c r="Q128" s="3" t="s">
        <v>395</v>
      </c>
      <c r="R128" s="3" t="s">
        <v>346</v>
      </c>
    </row>
    <row r="129" spans="2:18" s="2" customFormat="1" ht="18" customHeight="1" x14ac:dyDescent="0.2">
      <c r="B129" s="13">
        <f>B128+1</f>
        <v>116</v>
      </c>
      <c r="C129" s="3" t="s">
        <v>22</v>
      </c>
      <c r="D129" s="3" t="s">
        <v>367</v>
      </c>
      <c r="E129" s="20" t="str">
        <f t="shared" si="10"/>
        <v>44S0093</v>
      </c>
      <c r="F129" s="3" t="s">
        <v>11</v>
      </c>
      <c r="G129" s="3" t="s">
        <v>111</v>
      </c>
      <c r="H129" s="20" t="s">
        <v>433</v>
      </c>
      <c r="I129" s="20"/>
      <c r="J129" s="3" t="s">
        <v>112</v>
      </c>
      <c r="K129" s="3" t="s">
        <v>14</v>
      </c>
      <c r="L129" s="3"/>
      <c r="M129" s="3" t="s">
        <v>55</v>
      </c>
      <c r="N129" s="3">
        <v>4</v>
      </c>
      <c r="O129" s="3" t="s">
        <v>15</v>
      </c>
      <c r="P129" s="3"/>
      <c r="Q129" s="3" t="s">
        <v>395</v>
      </c>
      <c r="R129" s="3" t="s">
        <v>346</v>
      </c>
    </row>
    <row r="130" spans="2:18" s="2" customFormat="1" ht="18" customHeight="1" x14ac:dyDescent="0.25">
      <c r="B130" s="19" t="str">
        <f>"116-1"</f>
        <v>116-1</v>
      </c>
      <c r="C130" s="18">
        <v>2</v>
      </c>
      <c r="D130" s="30" t="s">
        <v>515</v>
      </c>
      <c r="E130" s="20" t="str">
        <f t="shared" si="10"/>
        <v>900000909</v>
      </c>
      <c r="F130" s="18" t="s">
        <v>11</v>
      </c>
      <c r="G130" s="18"/>
      <c r="H130" s="18" t="s">
        <v>506</v>
      </c>
      <c r="I130" s="18" t="s">
        <v>513</v>
      </c>
      <c r="J130" s="18" t="s">
        <v>521</v>
      </c>
      <c r="K130" s="18"/>
      <c r="L130" s="18"/>
      <c r="M130" s="18" t="s">
        <v>517</v>
      </c>
      <c r="N130" s="18"/>
      <c r="O130" s="18"/>
      <c r="P130" s="18"/>
      <c r="Q130" s="18"/>
      <c r="R130" s="18"/>
    </row>
    <row r="131" spans="2:18" s="2" customFormat="1" ht="18" customHeight="1" x14ac:dyDescent="0.2">
      <c r="B131" s="13">
        <f>B129+1</f>
        <v>117</v>
      </c>
      <c r="C131" s="3" t="s">
        <v>22</v>
      </c>
      <c r="D131" s="3">
        <v>9200106</v>
      </c>
      <c r="E131" s="20" t="str">
        <f t="shared" si="10"/>
        <v>9200106</v>
      </c>
      <c r="F131" s="3" t="s">
        <v>11</v>
      </c>
      <c r="G131" s="3" t="s">
        <v>113</v>
      </c>
      <c r="H131" s="20" t="s">
        <v>434</v>
      </c>
      <c r="I131" s="20"/>
      <c r="J131" s="3" t="s">
        <v>114</v>
      </c>
      <c r="K131" s="3" t="s">
        <v>88</v>
      </c>
      <c r="L131" s="3"/>
      <c r="M131" s="3" t="s">
        <v>25</v>
      </c>
      <c r="N131" s="3">
        <v>0</v>
      </c>
      <c r="O131" s="3" t="s">
        <v>15</v>
      </c>
      <c r="P131" s="3"/>
      <c r="Q131" s="3" t="s">
        <v>395</v>
      </c>
      <c r="R131" s="3" t="s">
        <v>346</v>
      </c>
    </row>
    <row r="132" spans="2:18" s="2" customFormat="1" ht="18" customHeight="1" x14ac:dyDescent="0.2">
      <c r="B132" s="19">
        <f t="shared" ref="B132:B137" si="11">B131+1</f>
        <v>118</v>
      </c>
      <c r="C132" s="18" t="s">
        <v>16</v>
      </c>
      <c r="D132" s="18">
        <v>110144630</v>
      </c>
      <c r="E132" s="18" t="str">
        <f t="shared" si="10"/>
        <v>110144630</v>
      </c>
      <c r="F132" s="18" t="s">
        <v>11</v>
      </c>
      <c r="G132" s="27" t="s">
        <v>98</v>
      </c>
      <c r="H132" s="27" t="s">
        <v>445</v>
      </c>
      <c r="I132" s="27" t="s">
        <v>523</v>
      </c>
      <c r="J132" s="18" t="s">
        <v>148</v>
      </c>
      <c r="K132" s="18" t="s">
        <v>14</v>
      </c>
      <c r="L132" s="18"/>
      <c r="M132" s="18" t="s">
        <v>21</v>
      </c>
      <c r="N132" s="18">
        <v>1</v>
      </c>
      <c r="O132" s="18" t="s">
        <v>38</v>
      </c>
      <c r="P132" s="18"/>
      <c r="Q132" s="18" t="s">
        <v>354</v>
      </c>
      <c r="R132" s="18" t="s">
        <v>354</v>
      </c>
    </row>
    <row r="133" spans="2:18" s="2" customFormat="1" ht="18" customHeight="1" x14ac:dyDescent="0.2">
      <c r="B133" s="13">
        <f t="shared" si="11"/>
        <v>119</v>
      </c>
      <c r="C133" s="3" t="s">
        <v>22</v>
      </c>
      <c r="D133" s="3">
        <v>170168744</v>
      </c>
      <c r="E133" s="20" t="str">
        <f t="shared" si="10"/>
        <v>170168744</v>
      </c>
      <c r="F133" s="3" t="s">
        <v>11</v>
      </c>
      <c r="G133" s="3" t="s">
        <v>60</v>
      </c>
      <c r="H133" s="20" t="s">
        <v>422</v>
      </c>
      <c r="I133" s="20"/>
      <c r="J133" s="3" t="s">
        <v>149</v>
      </c>
      <c r="K133" s="3" t="s">
        <v>68</v>
      </c>
      <c r="L133" s="3"/>
      <c r="M133" s="3" t="s">
        <v>21</v>
      </c>
      <c r="N133" s="3">
        <v>1</v>
      </c>
      <c r="O133" s="3" t="s">
        <v>15</v>
      </c>
      <c r="P133" s="3"/>
      <c r="Q133" s="3" t="s">
        <v>395</v>
      </c>
      <c r="R133" s="3" t="s">
        <v>396</v>
      </c>
    </row>
    <row r="134" spans="2:18" s="2" customFormat="1" ht="18" customHeight="1" x14ac:dyDescent="0.2">
      <c r="B134" s="13">
        <f t="shared" si="11"/>
        <v>120</v>
      </c>
      <c r="C134" s="3" t="s">
        <v>22</v>
      </c>
      <c r="D134" s="3">
        <v>170168752</v>
      </c>
      <c r="E134" s="20" t="str">
        <f t="shared" si="10"/>
        <v>170168752</v>
      </c>
      <c r="F134" s="3" t="s">
        <v>11</v>
      </c>
      <c r="G134" s="3" t="s">
        <v>29</v>
      </c>
      <c r="H134" s="20" t="s">
        <v>412</v>
      </c>
      <c r="I134" s="20"/>
      <c r="J134" s="3" t="s">
        <v>150</v>
      </c>
      <c r="K134" s="3" t="s">
        <v>14</v>
      </c>
      <c r="L134" s="3"/>
      <c r="M134" s="3" t="s">
        <v>21</v>
      </c>
      <c r="N134" s="3">
        <v>1</v>
      </c>
      <c r="O134" s="3" t="s">
        <v>15</v>
      </c>
      <c r="P134" s="3"/>
      <c r="Q134" s="3" t="s">
        <v>395</v>
      </c>
      <c r="R134" s="3" t="s">
        <v>396</v>
      </c>
    </row>
    <row r="135" spans="2:18" s="2" customFormat="1" ht="18" customHeight="1" x14ac:dyDescent="0.2">
      <c r="B135" s="8">
        <f t="shared" si="11"/>
        <v>121</v>
      </c>
      <c r="C135" s="4" t="s">
        <v>22</v>
      </c>
      <c r="D135" s="4" t="s">
        <v>379</v>
      </c>
      <c r="E135" s="4" t="str">
        <f t="shared" si="10"/>
        <v>2001-0022-0011</v>
      </c>
      <c r="F135" s="4" t="s">
        <v>11</v>
      </c>
      <c r="G135" s="4" t="s">
        <v>23</v>
      </c>
      <c r="H135" s="4" t="e">
        <v>#N/A</v>
      </c>
      <c r="I135" s="4" t="s">
        <v>526</v>
      </c>
      <c r="J135" s="4" t="s">
        <v>140</v>
      </c>
      <c r="K135" s="4" t="s">
        <v>70</v>
      </c>
      <c r="L135" s="4"/>
      <c r="M135" s="4" t="s">
        <v>21</v>
      </c>
      <c r="N135" s="4">
        <v>1</v>
      </c>
      <c r="O135" s="4" t="s">
        <v>15</v>
      </c>
      <c r="P135" s="4"/>
      <c r="Q135" s="4" t="s">
        <v>395</v>
      </c>
      <c r="R135" s="4" t="s">
        <v>346</v>
      </c>
    </row>
    <row r="136" spans="2:18" s="2" customFormat="1" ht="18" customHeight="1" x14ac:dyDescent="0.2">
      <c r="B136" s="13">
        <f t="shared" si="11"/>
        <v>122</v>
      </c>
      <c r="C136" s="3" t="s">
        <v>22</v>
      </c>
      <c r="D136" s="3">
        <v>320000363</v>
      </c>
      <c r="E136" s="20" t="str">
        <f t="shared" si="10"/>
        <v>320000363</v>
      </c>
      <c r="F136" s="3" t="s">
        <v>11</v>
      </c>
      <c r="G136" s="3" t="s">
        <v>29</v>
      </c>
      <c r="H136" s="20" t="s">
        <v>412</v>
      </c>
      <c r="I136" s="20"/>
      <c r="J136" s="3" t="s">
        <v>103</v>
      </c>
      <c r="K136" s="3" t="s">
        <v>83</v>
      </c>
      <c r="L136" s="3"/>
      <c r="M136" s="3" t="s">
        <v>21</v>
      </c>
      <c r="N136" s="3">
        <v>1</v>
      </c>
      <c r="O136" s="3" t="s">
        <v>15</v>
      </c>
      <c r="P136" s="3"/>
      <c r="Q136" s="3" t="s">
        <v>395</v>
      </c>
      <c r="R136" s="3" t="s">
        <v>346</v>
      </c>
    </row>
    <row r="137" spans="2:18" s="2" customFormat="1" ht="18" customHeight="1" x14ac:dyDescent="0.2">
      <c r="B137" s="13">
        <f t="shared" si="11"/>
        <v>123</v>
      </c>
      <c r="C137" s="3" t="s">
        <v>22</v>
      </c>
      <c r="D137" s="3">
        <v>340001643</v>
      </c>
      <c r="E137" s="20" t="str">
        <f t="shared" si="10"/>
        <v>340001643</v>
      </c>
      <c r="F137" s="3" t="s">
        <v>11</v>
      </c>
      <c r="G137" s="3" t="s">
        <v>23</v>
      </c>
      <c r="H137" s="20" t="s">
        <v>410</v>
      </c>
      <c r="I137" s="20"/>
      <c r="J137" s="3" t="s">
        <v>143</v>
      </c>
      <c r="K137" s="3" t="s">
        <v>106</v>
      </c>
      <c r="L137" s="3"/>
      <c r="M137" s="3" t="s">
        <v>21</v>
      </c>
      <c r="N137" s="3">
        <v>1</v>
      </c>
      <c r="O137" s="3" t="s">
        <v>15</v>
      </c>
      <c r="P137" s="3"/>
      <c r="Q137" s="3" t="s">
        <v>395</v>
      </c>
      <c r="R137" s="3" t="s">
        <v>346</v>
      </c>
    </row>
    <row r="138" spans="2:18" s="2" customFormat="1" ht="18" customHeight="1" x14ac:dyDescent="0.2">
      <c r="B138" s="19" t="str">
        <f>"123-1"</f>
        <v>123-1</v>
      </c>
      <c r="C138" s="18" t="s">
        <v>22</v>
      </c>
      <c r="D138" s="18">
        <v>340001871</v>
      </c>
      <c r="E138" s="20" t="str">
        <f t="shared" si="10"/>
        <v>340001871</v>
      </c>
      <c r="F138" s="18" t="s">
        <v>11</v>
      </c>
      <c r="G138" s="18" t="s">
        <v>495</v>
      </c>
      <c r="H138" s="18" t="s">
        <v>442</v>
      </c>
      <c r="I138" s="18" t="s">
        <v>520</v>
      </c>
      <c r="J138" s="18" t="s">
        <v>369</v>
      </c>
      <c r="K138" s="18" t="s">
        <v>76</v>
      </c>
      <c r="L138" s="18"/>
      <c r="M138" s="18" t="s">
        <v>18</v>
      </c>
      <c r="N138" s="18">
        <v>2</v>
      </c>
      <c r="O138" s="18" t="s">
        <v>38</v>
      </c>
      <c r="P138" s="18"/>
      <c r="Q138" s="18" t="s">
        <v>346</v>
      </c>
      <c r="R138" s="18" t="s">
        <v>346</v>
      </c>
    </row>
    <row r="139" spans="2:18" s="2" customFormat="1" ht="18" customHeight="1" x14ac:dyDescent="0.2">
      <c r="B139" s="13">
        <f>B137+1</f>
        <v>124</v>
      </c>
      <c r="C139" s="3" t="s">
        <v>22</v>
      </c>
      <c r="D139" s="3">
        <v>340002212</v>
      </c>
      <c r="E139" s="20" t="str">
        <f t="shared" si="10"/>
        <v>340002212</v>
      </c>
      <c r="F139" s="3" t="s">
        <v>11</v>
      </c>
      <c r="G139" s="3" t="s">
        <v>23</v>
      </c>
      <c r="H139" s="20" t="s">
        <v>410</v>
      </c>
      <c r="I139" s="20"/>
      <c r="J139" s="3" t="s">
        <v>104</v>
      </c>
      <c r="K139" s="3" t="s">
        <v>76</v>
      </c>
      <c r="L139" s="3"/>
      <c r="M139" s="3" t="s">
        <v>18</v>
      </c>
      <c r="N139" s="3">
        <v>2</v>
      </c>
      <c r="O139" s="3" t="s">
        <v>15</v>
      </c>
      <c r="P139" s="3"/>
      <c r="Q139" s="3" t="s">
        <v>395</v>
      </c>
      <c r="R139" s="3" t="s">
        <v>346</v>
      </c>
    </row>
    <row r="140" spans="2:18" s="2" customFormat="1" ht="18" customHeight="1" x14ac:dyDescent="0.2">
      <c r="B140" s="28">
        <f>B139+1</f>
        <v>125</v>
      </c>
      <c r="C140" s="24" t="s">
        <v>22</v>
      </c>
      <c r="D140" s="24" t="s">
        <v>531</v>
      </c>
      <c r="E140" s="24" t="str">
        <f t="shared" si="10"/>
        <v>3400490
→ 340218502</v>
      </c>
      <c r="F140" s="24" t="s">
        <v>11</v>
      </c>
      <c r="G140" s="24" t="s">
        <v>56</v>
      </c>
      <c r="H140" s="24" t="e">
        <v>#N/A</v>
      </c>
      <c r="I140" s="24" t="s">
        <v>527</v>
      </c>
      <c r="J140" s="24" t="s">
        <v>144</v>
      </c>
      <c r="K140" s="24" t="s">
        <v>77</v>
      </c>
      <c r="L140" s="24"/>
      <c r="M140" s="24" t="s">
        <v>21</v>
      </c>
      <c r="N140" s="24">
        <v>1</v>
      </c>
      <c r="O140" s="24" t="s">
        <v>15</v>
      </c>
      <c r="P140" s="24"/>
      <c r="Q140" s="24" t="s">
        <v>395</v>
      </c>
      <c r="R140" s="24" t="s">
        <v>346</v>
      </c>
    </row>
    <row r="141" spans="2:18" s="2" customFormat="1" ht="18" customHeight="1" x14ac:dyDescent="0.2">
      <c r="B141" s="19" t="str">
        <f>"125-1"</f>
        <v>125-1</v>
      </c>
      <c r="C141" s="18">
        <v>2</v>
      </c>
      <c r="D141" s="18">
        <v>340218502</v>
      </c>
      <c r="E141" s="18"/>
      <c r="F141" s="18" t="s">
        <v>11</v>
      </c>
      <c r="G141" s="18"/>
      <c r="H141" s="18" t="s">
        <v>524</v>
      </c>
      <c r="I141" s="18"/>
      <c r="J141" s="18" t="s">
        <v>525</v>
      </c>
      <c r="K141" s="18"/>
      <c r="L141" s="18"/>
      <c r="M141" s="18" t="s">
        <v>21</v>
      </c>
      <c r="N141" s="18">
        <v>1</v>
      </c>
      <c r="O141" s="18" t="s">
        <v>15</v>
      </c>
      <c r="P141" s="18"/>
      <c r="Q141" s="18"/>
      <c r="R141" s="18"/>
    </row>
    <row r="142" spans="2:18" s="2" customFormat="1" ht="18" customHeight="1" x14ac:dyDescent="0.2">
      <c r="B142" s="13">
        <f>B140+1</f>
        <v>126</v>
      </c>
      <c r="C142" s="3" t="s">
        <v>22</v>
      </c>
      <c r="D142" s="3">
        <v>3400775</v>
      </c>
      <c r="E142" s="20" t="str">
        <f t="shared" ref="E142:E173" si="12">TRIM(D142)</f>
        <v>3400775</v>
      </c>
      <c r="F142" s="3" t="s">
        <v>11</v>
      </c>
      <c r="G142" s="3" t="s">
        <v>34</v>
      </c>
      <c r="H142" s="20" t="s">
        <v>418</v>
      </c>
      <c r="I142" s="20"/>
      <c r="J142" s="3" t="s">
        <v>145</v>
      </c>
      <c r="K142" s="3" t="s">
        <v>93</v>
      </c>
      <c r="L142" s="3"/>
      <c r="M142" s="3" t="s">
        <v>21</v>
      </c>
      <c r="N142" s="3">
        <v>1</v>
      </c>
      <c r="O142" s="3" t="s">
        <v>15</v>
      </c>
      <c r="P142" s="3"/>
      <c r="Q142" s="3" t="s">
        <v>395</v>
      </c>
      <c r="R142" s="3" t="s">
        <v>346</v>
      </c>
    </row>
    <row r="143" spans="2:18" s="2" customFormat="1" ht="18" customHeight="1" x14ac:dyDescent="0.2">
      <c r="B143" s="13">
        <f>B142+1</f>
        <v>127</v>
      </c>
      <c r="C143" s="3" t="s">
        <v>22</v>
      </c>
      <c r="D143" s="3">
        <v>3402049</v>
      </c>
      <c r="E143" s="20" t="str">
        <f t="shared" si="12"/>
        <v>3402049</v>
      </c>
      <c r="F143" s="3" t="s">
        <v>11</v>
      </c>
      <c r="G143" s="3" t="s">
        <v>60</v>
      </c>
      <c r="H143" s="20" t="e">
        <v>#N/A</v>
      </c>
      <c r="I143" s="20"/>
      <c r="J143" s="3" t="s">
        <v>105</v>
      </c>
      <c r="K143" s="3" t="s">
        <v>96</v>
      </c>
      <c r="L143" s="3"/>
      <c r="M143" s="3" t="s">
        <v>21</v>
      </c>
      <c r="N143" s="3">
        <v>1</v>
      </c>
      <c r="O143" s="3" t="s">
        <v>15</v>
      </c>
      <c r="P143" s="3"/>
      <c r="Q143" s="3" t="s">
        <v>395</v>
      </c>
      <c r="R143" s="3" t="s">
        <v>346</v>
      </c>
    </row>
    <row r="144" spans="2:18" s="2" customFormat="1" ht="18" customHeight="1" x14ac:dyDescent="0.2">
      <c r="B144" s="13">
        <f>B143+1</f>
        <v>128</v>
      </c>
      <c r="C144" s="3" t="s">
        <v>22</v>
      </c>
      <c r="D144" s="3">
        <v>350001184</v>
      </c>
      <c r="E144" s="20" t="str">
        <f t="shared" si="12"/>
        <v>350001184</v>
      </c>
      <c r="F144" s="3" t="s">
        <v>11</v>
      </c>
      <c r="G144" s="3" t="s">
        <v>60</v>
      </c>
      <c r="H144" s="20" t="s">
        <v>422</v>
      </c>
      <c r="I144" s="20"/>
      <c r="J144" s="3" t="s">
        <v>108</v>
      </c>
      <c r="K144" s="3" t="s">
        <v>72</v>
      </c>
      <c r="L144" s="3"/>
      <c r="M144" s="3" t="s">
        <v>18</v>
      </c>
      <c r="N144" s="3">
        <v>2</v>
      </c>
      <c r="O144" s="3" t="s">
        <v>15</v>
      </c>
      <c r="P144" s="3"/>
      <c r="Q144" s="3" t="s">
        <v>395</v>
      </c>
      <c r="R144" s="3" t="s">
        <v>346</v>
      </c>
    </row>
    <row r="145" spans="2:18" s="2" customFormat="1" ht="18" customHeight="1" x14ac:dyDescent="0.2">
      <c r="B145" s="13">
        <f>B144+1</f>
        <v>129</v>
      </c>
      <c r="C145" s="3" t="s">
        <v>22</v>
      </c>
      <c r="D145" s="3">
        <v>430000724</v>
      </c>
      <c r="E145" s="20" t="str">
        <f t="shared" si="12"/>
        <v>430000724</v>
      </c>
      <c r="F145" s="3" t="s">
        <v>11</v>
      </c>
      <c r="G145" s="3" t="s">
        <v>109</v>
      </c>
      <c r="H145" s="20" t="s">
        <v>432</v>
      </c>
      <c r="I145" s="20"/>
      <c r="J145" s="3" t="s">
        <v>110</v>
      </c>
      <c r="K145" s="3" t="s">
        <v>14</v>
      </c>
      <c r="L145" s="3"/>
      <c r="M145" s="3" t="s">
        <v>18</v>
      </c>
      <c r="N145" s="3">
        <v>2</v>
      </c>
      <c r="O145" s="3" t="s">
        <v>15</v>
      </c>
      <c r="P145" s="3"/>
      <c r="Q145" s="3" t="s">
        <v>395</v>
      </c>
      <c r="R145" s="3" t="s">
        <v>346</v>
      </c>
    </row>
    <row r="146" spans="2:18" s="2" customFormat="1" ht="18" customHeight="1" x14ac:dyDescent="0.2">
      <c r="B146" s="13">
        <f>B145+1</f>
        <v>130</v>
      </c>
      <c r="C146" s="3" t="s">
        <v>22</v>
      </c>
      <c r="D146" s="3" t="s">
        <v>380</v>
      </c>
      <c r="E146" s="20" t="str">
        <f t="shared" si="12"/>
        <v>44S0093</v>
      </c>
      <c r="F146" s="3" t="s">
        <v>11</v>
      </c>
      <c r="G146" s="3" t="s">
        <v>111</v>
      </c>
      <c r="H146" s="20" t="s">
        <v>433</v>
      </c>
      <c r="I146" s="20"/>
      <c r="J146" s="3" t="s">
        <v>112</v>
      </c>
      <c r="K146" s="3" t="s">
        <v>14</v>
      </c>
      <c r="L146" s="3"/>
      <c r="M146" s="3" t="s">
        <v>55</v>
      </c>
      <c r="N146" s="3">
        <v>4</v>
      </c>
      <c r="O146" s="3" t="s">
        <v>15</v>
      </c>
      <c r="P146" s="3"/>
      <c r="Q146" s="3" t="s">
        <v>395</v>
      </c>
      <c r="R146" s="3" t="s">
        <v>346</v>
      </c>
    </row>
    <row r="147" spans="2:18" s="2" customFormat="1" ht="18" customHeight="1" x14ac:dyDescent="0.25">
      <c r="B147" s="19" t="str">
        <f>"116-1"</f>
        <v>116-1</v>
      </c>
      <c r="C147" s="18">
        <v>2</v>
      </c>
      <c r="D147" s="30" t="s">
        <v>515</v>
      </c>
      <c r="E147" s="20" t="str">
        <f t="shared" si="12"/>
        <v>900000909</v>
      </c>
      <c r="F147" s="18" t="s">
        <v>11</v>
      </c>
      <c r="G147" s="18"/>
      <c r="H147" s="18" t="s">
        <v>506</v>
      </c>
      <c r="I147" s="18" t="s">
        <v>513</v>
      </c>
      <c r="J147" s="18" t="s">
        <v>521</v>
      </c>
      <c r="K147" s="18"/>
      <c r="L147" s="18"/>
      <c r="M147" s="18" t="s">
        <v>517</v>
      </c>
      <c r="N147" s="18"/>
      <c r="O147" s="18"/>
      <c r="P147" s="18"/>
      <c r="Q147" s="18"/>
      <c r="R147" s="18"/>
    </row>
    <row r="148" spans="2:18" s="2" customFormat="1" ht="18" customHeight="1" x14ac:dyDescent="0.2">
      <c r="B148" s="13">
        <f>B146+1</f>
        <v>131</v>
      </c>
      <c r="C148" s="3" t="s">
        <v>22</v>
      </c>
      <c r="D148" s="3">
        <v>9200106</v>
      </c>
      <c r="E148" s="20" t="str">
        <f t="shared" si="12"/>
        <v>9200106</v>
      </c>
      <c r="F148" s="3" t="s">
        <v>11</v>
      </c>
      <c r="G148" s="3" t="s">
        <v>113</v>
      </c>
      <c r="H148" s="20" t="s">
        <v>434</v>
      </c>
      <c r="I148" s="20"/>
      <c r="J148" s="3" t="s">
        <v>114</v>
      </c>
      <c r="K148" s="3" t="s">
        <v>151</v>
      </c>
      <c r="L148" s="3"/>
      <c r="M148" s="3" t="s">
        <v>25</v>
      </c>
      <c r="N148" s="3">
        <v>0</v>
      </c>
      <c r="O148" s="3" t="s">
        <v>15</v>
      </c>
      <c r="P148" s="3"/>
      <c r="Q148" s="3" t="s">
        <v>395</v>
      </c>
      <c r="R148" s="3" t="s">
        <v>346</v>
      </c>
    </row>
    <row r="149" spans="2:18" s="2" customFormat="1" ht="18" customHeight="1" x14ac:dyDescent="0.2">
      <c r="B149" s="8">
        <f t="shared" ref="B149:B180" si="13">B148+1</f>
        <v>132</v>
      </c>
      <c r="C149" s="4" t="s">
        <v>16</v>
      </c>
      <c r="D149" s="4">
        <v>120006025</v>
      </c>
      <c r="E149" s="20" t="str">
        <f t="shared" si="12"/>
        <v>120006025</v>
      </c>
      <c r="F149" s="4" t="s">
        <v>11</v>
      </c>
      <c r="G149" s="4" t="s">
        <v>29</v>
      </c>
      <c r="H149" s="4" t="s">
        <v>412</v>
      </c>
      <c r="I149" s="4"/>
      <c r="J149" s="4" t="s">
        <v>152</v>
      </c>
      <c r="K149" s="4" t="s">
        <v>14</v>
      </c>
      <c r="L149" s="4"/>
      <c r="M149" s="4" t="s">
        <v>21</v>
      </c>
      <c r="N149" s="4">
        <v>1</v>
      </c>
      <c r="O149" s="4" t="s">
        <v>15</v>
      </c>
      <c r="P149" s="4"/>
      <c r="Q149" s="4" t="s">
        <v>352</v>
      </c>
      <c r="R149" s="4" t="s">
        <v>352</v>
      </c>
    </row>
    <row r="150" spans="2:18" s="2" customFormat="1" ht="18" customHeight="1" x14ac:dyDescent="0.2">
      <c r="B150" s="13">
        <f t="shared" si="13"/>
        <v>133</v>
      </c>
      <c r="C150" s="3" t="s">
        <v>22</v>
      </c>
      <c r="D150" s="3">
        <v>230000654</v>
      </c>
      <c r="E150" s="20" t="str">
        <f t="shared" si="12"/>
        <v>230000654</v>
      </c>
      <c r="F150" s="3" t="s">
        <v>11</v>
      </c>
      <c r="G150" s="3" t="s">
        <v>23</v>
      </c>
      <c r="H150" s="20" t="s">
        <v>410</v>
      </c>
      <c r="I150" s="20"/>
      <c r="J150" s="3" t="s">
        <v>153</v>
      </c>
      <c r="K150" s="3" t="s">
        <v>127</v>
      </c>
      <c r="L150" s="3"/>
      <c r="M150" s="3" t="s">
        <v>21</v>
      </c>
      <c r="N150" s="3">
        <v>1</v>
      </c>
      <c r="O150" s="3" t="s">
        <v>15</v>
      </c>
      <c r="P150" s="3"/>
      <c r="Q150" s="3" t="s">
        <v>395</v>
      </c>
      <c r="R150" s="3" t="s">
        <v>346</v>
      </c>
    </row>
    <row r="151" spans="2:18" s="2" customFormat="1" ht="18" customHeight="1" x14ac:dyDescent="0.2">
      <c r="B151" s="13">
        <f t="shared" si="13"/>
        <v>134</v>
      </c>
      <c r="C151" s="3" t="s">
        <v>22</v>
      </c>
      <c r="D151" s="3">
        <v>530000551</v>
      </c>
      <c r="E151" s="20" t="str">
        <f t="shared" si="12"/>
        <v>530000551</v>
      </c>
      <c r="F151" s="3" t="s">
        <v>11</v>
      </c>
      <c r="G151" s="3" t="s">
        <v>23</v>
      </c>
      <c r="H151" s="20" t="s">
        <v>410</v>
      </c>
      <c r="I151" s="20"/>
      <c r="J151" s="3" t="s">
        <v>154</v>
      </c>
      <c r="K151" s="3" t="s">
        <v>68</v>
      </c>
      <c r="L151" s="3"/>
      <c r="M151" s="3" t="s">
        <v>21</v>
      </c>
      <c r="N151" s="3">
        <v>1</v>
      </c>
      <c r="O151" s="3" t="s">
        <v>15</v>
      </c>
      <c r="P151" s="3"/>
      <c r="Q151" s="3" t="s">
        <v>395</v>
      </c>
      <c r="R151" s="3" t="s">
        <v>346</v>
      </c>
    </row>
    <row r="152" spans="2:18" s="2" customFormat="1" ht="18" customHeight="1" x14ac:dyDescent="0.2">
      <c r="B152" s="8">
        <f t="shared" si="13"/>
        <v>135</v>
      </c>
      <c r="C152" s="4" t="s">
        <v>22</v>
      </c>
      <c r="D152" s="4">
        <v>8600780</v>
      </c>
      <c r="E152" s="20" t="str">
        <f t="shared" si="12"/>
        <v>8600780</v>
      </c>
      <c r="F152" s="4" t="s">
        <v>11</v>
      </c>
      <c r="G152" s="4" t="s">
        <v>155</v>
      </c>
      <c r="H152" s="4" t="s">
        <v>446</v>
      </c>
      <c r="I152" s="4"/>
      <c r="J152" s="4" t="s">
        <v>156</v>
      </c>
      <c r="K152" s="4" t="s">
        <v>70</v>
      </c>
      <c r="L152" s="4"/>
      <c r="M152" s="4" t="s">
        <v>25</v>
      </c>
      <c r="N152" s="4">
        <v>0</v>
      </c>
      <c r="O152" s="4" t="s">
        <v>38</v>
      </c>
      <c r="P152" s="4"/>
      <c r="Q152" s="4" t="s">
        <v>352</v>
      </c>
      <c r="R152" s="4" t="s">
        <v>352</v>
      </c>
    </row>
    <row r="153" spans="2:18" s="2" customFormat="1" ht="18" customHeight="1" x14ac:dyDescent="0.2">
      <c r="B153" s="8">
        <f t="shared" si="13"/>
        <v>136</v>
      </c>
      <c r="C153" s="4" t="s">
        <v>16</v>
      </c>
      <c r="D153" s="4">
        <v>120006197</v>
      </c>
      <c r="E153" s="20" t="str">
        <f t="shared" si="12"/>
        <v>120006197</v>
      </c>
      <c r="F153" s="4" t="s">
        <v>11</v>
      </c>
      <c r="G153" s="4" t="s">
        <v>60</v>
      </c>
      <c r="H153" s="4" t="s">
        <v>422</v>
      </c>
      <c r="I153" s="4"/>
      <c r="J153" s="4" t="s">
        <v>157</v>
      </c>
      <c r="K153" s="4" t="s">
        <v>14</v>
      </c>
      <c r="L153" s="4"/>
      <c r="M153" s="4" t="s">
        <v>21</v>
      </c>
      <c r="N153" s="4">
        <v>1</v>
      </c>
      <c r="O153" s="4" t="s">
        <v>15</v>
      </c>
      <c r="P153" s="4"/>
      <c r="Q153" s="4" t="s">
        <v>352</v>
      </c>
      <c r="R153" s="4" t="s">
        <v>352</v>
      </c>
    </row>
    <row r="154" spans="2:18" s="2" customFormat="1" ht="18" customHeight="1" x14ac:dyDescent="0.2">
      <c r="B154" s="13">
        <f t="shared" si="13"/>
        <v>137</v>
      </c>
      <c r="C154" s="3" t="s">
        <v>22</v>
      </c>
      <c r="D154" s="3">
        <v>230000667</v>
      </c>
      <c r="E154" s="20" t="str">
        <f t="shared" si="12"/>
        <v>230000667</v>
      </c>
      <c r="F154" s="3" t="s">
        <v>11</v>
      </c>
      <c r="G154" s="3" t="s">
        <v>23</v>
      </c>
      <c r="H154" s="20" t="s">
        <v>410</v>
      </c>
      <c r="I154" s="20"/>
      <c r="J154" s="3" t="s">
        <v>158</v>
      </c>
      <c r="K154" s="3" t="s">
        <v>127</v>
      </c>
      <c r="L154" s="3"/>
      <c r="M154" s="3" t="s">
        <v>21</v>
      </c>
      <c r="N154" s="3">
        <v>1</v>
      </c>
      <c r="O154" s="3" t="s">
        <v>15</v>
      </c>
      <c r="P154" s="3"/>
      <c r="Q154" s="3" t="s">
        <v>395</v>
      </c>
      <c r="R154" s="3" t="s">
        <v>346</v>
      </c>
    </row>
    <row r="155" spans="2:18" s="2" customFormat="1" ht="18" customHeight="1" x14ac:dyDescent="0.2">
      <c r="B155" s="13">
        <f t="shared" si="13"/>
        <v>138</v>
      </c>
      <c r="C155" s="3" t="s">
        <v>36</v>
      </c>
      <c r="D155" s="3" t="s">
        <v>371</v>
      </c>
      <c r="E155" s="20" t="str">
        <f t="shared" si="12"/>
        <v>230000667VM</v>
      </c>
      <c r="F155" s="3" t="s">
        <v>11</v>
      </c>
      <c r="G155" s="3" t="s">
        <v>159</v>
      </c>
      <c r="H155" s="20" t="s">
        <v>447</v>
      </c>
      <c r="I155" s="20"/>
      <c r="J155" s="3" t="s">
        <v>158</v>
      </c>
      <c r="K155" s="3" t="s">
        <v>127</v>
      </c>
      <c r="L155" s="3"/>
      <c r="M155" s="3" t="s">
        <v>25</v>
      </c>
      <c r="N155" s="3">
        <v>0</v>
      </c>
      <c r="O155" s="3" t="s">
        <v>15</v>
      </c>
      <c r="P155" s="3"/>
      <c r="Q155" s="3" t="s">
        <v>395</v>
      </c>
      <c r="R155" s="3" t="s">
        <v>346</v>
      </c>
    </row>
    <row r="156" spans="2:18" s="2" customFormat="1" ht="18" customHeight="1" x14ac:dyDescent="0.2">
      <c r="B156" s="8">
        <f t="shared" si="13"/>
        <v>139</v>
      </c>
      <c r="C156" s="4" t="s">
        <v>22</v>
      </c>
      <c r="D156" s="4">
        <v>8600780</v>
      </c>
      <c r="E156" s="20" t="str">
        <f t="shared" si="12"/>
        <v>8600780</v>
      </c>
      <c r="F156" s="4" t="s">
        <v>11</v>
      </c>
      <c r="G156" s="4" t="s">
        <v>155</v>
      </c>
      <c r="H156" s="4" t="s">
        <v>446</v>
      </c>
      <c r="I156" s="4"/>
      <c r="J156" s="4" t="s">
        <v>156</v>
      </c>
      <c r="K156" s="4" t="s">
        <v>68</v>
      </c>
      <c r="L156" s="4"/>
      <c r="M156" s="4" t="s">
        <v>25</v>
      </c>
      <c r="N156" s="4">
        <v>0</v>
      </c>
      <c r="O156" s="4" t="s">
        <v>38</v>
      </c>
      <c r="P156" s="4"/>
      <c r="Q156" s="4" t="s">
        <v>352</v>
      </c>
      <c r="R156" s="4" t="s">
        <v>352</v>
      </c>
    </row>
    <row r="157" spans="2:18" s="2" customFormat="1" ht="18" customHeight="1" x14ac:dyDescent="0.2">
      <c r="B157" s="13">
        <f t="shared" si="13"/>
        <v>140</v>
      </c>
      <c r="C157" s="3" t="s">
        <v>16</v>
      </c>
      <c r="D157" s="3">
        <v>160025507</v>
      </c>
      <c r="E157" s="20" t="str">
        <f t="shared" si="12"/>
        <v>160025507</v>
      </c>
      <c r="F157" s="3" t="s">
        <v>11</v>
      </c>
      <c r="G157" s="3" t="s">
        <v>23</v>
      </c>
      <c r="H157" s="20" t="s">
        <v>410</v>
      </c>
      <c r="I157" s="20"/>
      <c r="J157" s="3" t="s">
        <v>160</v>
      </c>
      <c r="K157" s="3" t="s">
        <v>14</v>
      </c>
      <c r="L157" s="3"/>
      <c r="M157" s="3" t="s">
        <v>21</v>
      </c>
      <c r="N157" s="3">
        <v>1</v>
      </c>
      <c r="O157" s="3" t="s">
        <v>15</v>
      </c>
      <c r="P157" s="3"/>
      <c r="Q157" s="3" t="s">
        <v>393</v>
      </c>
      <c r="R157" s="3" t="s">
        <v>400</v>
      </c>
    </row>
    <row r="158" spans="2:18" s="2" customFormat="1" ht="18" customHeight="1" x14ac:dyDescent="0.2">
      <c r="B158" s="8">
        <f t="shared" si="13"/>
        <v>141</v>
      </c>
      <c r="C158" s="4" t="s">
        <v>22</v>
      </c>
      <c r="D158" s="4">
        <v>5000472</v>
      </c>
      <c r="E158" s="20" t="str">
        <f t="shared" si="12"/>
        <v>5000472</v>
      </c>
      <c r="F158" s="4" t="s">
        <v>11</v>
      </c>
      <c r="G158" s="4" t="s">
        <v>161</v>
      </c>
      <c r="H158" s="4" t="s">
        <v>448</v>
      </c>
      <c r="I158" s="4"/>
      <c r="J158" s="4" t="s">
        <v>162</v>
      </c>
      <c r="K158" s="4" t="s">
        <v>127</v>
      </c>
      <c r="L158" s="4"/>
      <c r="M158" s="4" t="s">
        <v>25</v>
      </c>
      <c r="N158" s="4">
        <v>0</v>
      </c>
      <c r="O158" s="4" t="s">
        <v>15</v>
      </c>
      <c r="P158" s="4"/>
      <c r="Q158" s="4" t="s">
        <v>397</v>
      </c>
      <c r="R158" s="4" t="s">
        <v>384</v>
      </c>
    </row>
    <row r="159" spans="2:18" s="2" customFormat="1" ht="18" customHeight="1" x14ac:dyDescent="0.2">
      <c r="B159" s="8">
        <f t="shared" si="13"/>
        <v>142</v>
      </c>
      <c r="C159" s="4" t="s">
        <v>22</v>
      </c>
      <c r="D159" s="4">
        <v>510002007</v>
      </c>
      <c r="E159" s="20" t="str">
        <f t="shared" si="12"/>
        <v>510002007</v>
      </c>
      <c r="F159" s="4" t="s">
        <v>11</v>
      </c>
      <c r="G159" s="4" t="s">
        <v>34</v>
      </c>
      <c r="H159" s="4" t="s">
        <v>418</v>
      </c>
      <c r="I159" s="4"/>
      <c r="J159" s="4" t="s">
        <v>163</v>
      </c>
      <c r="K159" s="4" t="s">
        <v>68</v>
      </c>
      <c r="L159" s="4"/>
      <c r="M159" s="4" t="s">
        <v>21</v>
      </c>
      <c r="N159" s="4">
        <v>1</v>
      </c>
      <c r="O159" s="4" t="s">
        <v>15</v>
      </c>
      <c r="P159" s="4"/>
      <c r="Q159" s="4" t="s">
        <v>397</v>
      </c>
      <c r="R159" s="4" t="s">
        <v>384</v>
      </c>
    </row>
    <row r="160" spans="2:18" s="2" customFormat="1" ht="18" customHeight="1" x14ac:dyDescent="0.2">
      <c r="B160" s="8">
        <f t="shared" si="13"/>
        <v>143</v>
      </c>
      <c r="C160" s="4" t="s">
        <v>22</v>
      </c>
      <c r="D160" s="4">
        <v>510002688</v>
      </c>
      <c r="E160" s="20" t="str">
        <f t="shared" si="12"/>
        <v>510002688</v>
      </c>
      <c r="F160" s="4" t="s">
        <v>11</v>
      </c>
      <c r="G160" s="4" t="s">
        <v>23</v>
      </c>
      <c r="H160" s="4" t="s">
        <v>410</v>
      </c>
      <c r="I160" s="4"/>
      <c r="J160" s="4" t="s">
        <v>164</v>
      </c>
      <c r="K160" s="4" t="s">
        <v>70</v>
      </c>
      <c r="L160" s="4"/>
      <c r="M160" s="4" t="s">
        <v>21</v>
      </c>
      <c r="N160" s="4">
        <v>1</v>
      </c>
      <c r="O160" s="4" t="s">
        <v>15</v>
      </c>
      <c r="P160" s="4"/>
      <c r="Q160" s="4" t="s">
        <v>397</v>
      </c>
      <c r="R160" s="4" t="s">
        <v>384</v>
      </c>
    </row>
    <row r="161" spans="2:18" s="2" customFormat="1" ht="18" customHeight="1" x14ac:dyDescent="0.2">
      <c r="B161" s="8">
        <f t="shared" si="13"/>
        <v>144</v>
      </c>
      <c r="C161" s="4" t="s">
        <v>22</v>
      </c>
      <c r="D161" s="4">
        <v>510002690</v>
      </c>
      <c r="E161" s="20" t="str">
        <f t="shared" si="12"/>
        <v>510002690</v>
      </c>
      <c r="F161" s="4" t="s">
        <v>11</v>
      </c>
      <c r="G161" s="4" t="s">
        <v>34</v>
      </c>
      <c r="H161" s="4" t="s">
        <v>418</v>
      </c>
      <c r="I161" s="4"/>
      <c r="J161" s="4" t="s">
        <v>165</v>
      </c>
      <c r="K161" s="4" t="s">
        <v>83</v>
      </c>
      <c r="L161" s="4"/>
      <c r="M161" s="4" t="s">
        <v>21</v>
      </c>
      <c r="N161" s="4">
        <v>1</v>
      </c>
      <c r="O161" s="4" t="s">
        <v>15</v>
      </c>
      <c r="P161" s="4"/>
      <c r="Q161" s="4" t="s">
        <v>397</v>
      </c>
      <c r="R161" s="4" t="s">
        <v>384</v>
      </c>
    </row>
    <row r="162" spans="2:18" s="2" customFormat="1" ht="18" customHeight="1" x14ac:dyDescent="0.2">
      <c r="B162" s="8">
        <f t="shared" si="13"/>
        <v>145</v>
      </c>
      <c r="C162" s="4" t="s">
        <v>22</v>
      </c>
      <c r="D162" s="4">
        <v>570000905</v>
      </c>
      <c r="E162" s="20" t="str">
        <f t="shared" si="12"/>
        <v>570000905</v>
      </c>
      <c r="F162" s="4" t="s">
        <v>11</v>
      </c>
      <c r="G162" s="4" t="s">
        <v>23</v>
      </c>
      <c r="H162" s="4" t="s">
        <v>410</v>
      </c>
      <c r="I162" s="4"/>
      <c r="J162" s="4" t="s">
        <v>166</v>
      </c>
      <c r="K162" s="4" t="s">
        <v>106</v>
      </c>
      <c r="L162" s="4"/>
      <c r="M162" s="4" t="s">
        <v>21</v>
      </c>
      <c r="N162" s="4">
        <v>1</v>
      </c>
      <c r="O162" s="4" t="s">
        <v>15</v>
      </c>
      <c r="P162" s="4"/>
      <c r="Q162" s="4" t="s">
        <v>397</v>
      </c>
      <c r="R162" s="4" t="s">
        <v>384</v>
      </c>
    </row>
    <row r="163" spans="2:18" s="2" customFormat="1" ht="18" customHeight="1" x14ac:dyDescent="0.2">
      <c r="B163" s="8">
        <f t="shared" si="13"/>
        <v>146</v>
      </c>
      <c r="C163" s="4" t="s">
        <v>22</v>
      </c>
      <c r="D163" s="4">
        <v>7500004</v>
      </c>
      <c r="E163" s="20" t="str">
        <f t="shared" si="12"/>
        <v>7500004</v>
      </c>
      <c r="F163" s="4" t="s">
        <v>11</v>
      </c>
      <c r="G163" s="4" t="s">
        <v>167</v>
      </c>
      <c r="H163" s="4" t="s">
        <v>449</v>
      </c>
      <c r="I163" s="4"/>
      <c r="J163" s="4" t="s">
        <v>168</v>
      </c>
      <c r="K163" s="4" t="s">
        <v>76</v>
      </c>
      <c r="L163" s="4"/>
      <c r="M163" s="4" t="s">
        <v>169</v>
      </c>
      <c r="N163" s="4">
        <v>0.5</v>
      </c>
      <c r="O163" s="4" t="s">
        <v>15</v>
      </c>
      <c r="P163" s="4"/>
      <c r="Q163" s="4" t="s">
        <v>397</v>
      </c>
      <c r="R163" s="4" t="s">
        <v>384</v>
      </c>
    </row>
    <row r="164" spans="2:18" s="2" customFormat="1" ht="18" customHeight="1" x14ac:dyDescent="0.2">
      <c r="B164" s="8">
        <f t="shared" si="13"/>
        <v>147</v>
      </c>
      <c r="C164" s="4" t="s">
        <v>22</v>
      </c>
      <c r="D164" s="4">
        <v>770000693</v>
      </c>
      <c r="E164" s="20" t="str">
        <f t="shared" si="12"/>
        <v>770000693</v>
      </c>
      <c r="F164" s="4" t="s">
        <v>11</v>
      </c>
      <c r="G164" s="4" t="s">
        <v>159</v>
      </c>
      <c r="H164" s="4" t="s">
        <v>447</v>
      </c>
      <c r="I164" s="4"/>
      <c r="J164" s="4" t="s">
        <v>170</v>
      </c>
      <c r="K164" s="4" t="s">
        <v>77</v>
      </c>
      <c r="L164" s="4"/>
      <c r="M164" s="4" t="s">
        <v>171</v>
      </c>
      <c r="N164" s="4">
        <v>3.2</v>
      </c>
      <c r="O164" s="4" t="s">
        <v>15</v>
      </c>
      <c r="P164" s="4"/>
      <c r="Q164" s="4" t="s">
        <v>397</v>
      </c>
      <c r="R164" s="4" t="s">
        <v>384</v>
      </c>
    </row>
    <row r="165" spans="2:18" s="2" customFormat="1" ht="18" customHeight="1" x14ac:dyDescent="0.2">
      <c r="B165" s="8">
        <f t="shared" si="13"/>
        <v>148</v>
      </c>
      <c r="C165" s="4" t="s">
        <v>22</v>
      </c>
      <c r="D165" s="4">
        <v>8606757</v>
      </c>
      <c r="E165" s="20" t="str">
        <f t="shared" si="12"/>
        <v>8606757</v>
      </c>
      <c r="F165" s="4" t="s">
        <v>11</v>
      </c>
      <c r="G165" s="4" t="s">
        <v>172</v>
      </c>
      <c r="H165" s="4" t="s">
        <v>450</v>
      </c>
      <c r="I165" s="4"/>
      <c r="J165" s="4" t="s">
        <v>173</v>
      </c>
      <c r="K165" s="4" t="s">
        <v>93</v>
      </c>
      <c r="L165" s="4"/>
      <c r="M165" s="4" t="s">
        <v>25</v>
      </c>
      <c r="N165" s="4">
        <v>0</v>
      </c>
      <c r="O165" s="4" t="s">
        <v>38</v>
      </c>
      <c r="P165" s="4"/>
      <c r="Q165" s="4" t="s">
        <v>397</v>
      </c>
      <c r="R165" s="4" t="s">
        <v>384</v>
      </c>
    </row>
    <row r="166" spans="2:18" s="2" customFormat="1" ht="18" customHeight="1" x14ac:dyDescent="0.2">
      <c r="B166" s="8">
        <f t="shared" si="13"/>
        <v>149</v>
      </c>
      <c r="C166" s="4" t="s">
        <v>22</v>
      </c>
      <c r="D166" s="4">
        <v>880000356</v>
      </c>
      <c r="E166" s="20" t="str">
        <f t="shared" si="12"/>
        <v>880000356</v>
      </c>
      <c r="F166" s="4" t="s">
        <v>11</v>
      </c>
      <c r="G166" s="4" t="s">
        <v>174</v>
      </c>
      <c r="H166" s="4" t="s">
        <v>451</v>
      </c>
      <c r="I166" s="4"/>
      <c r="J166" s="4" t="s">
        <v>175</v>
      </c>
      <c r="K166" s="4" t="s">
        <v>96</v>
      </c>
      <c r="L166" s="4"/>
      <c r="M166" s="4" t="s">
        <v>25</v>
      </c>
      <c r="N166" s="4">
        <v>0</v>
      </c>
      <c r="O166" s="4" t="s">
        <v>15</v>
      </c>
      <c r="P166" s="4"/>
      <c r="Q166" s="4" t="s">
        <v>397</v>
      </c>
      <c r="R166" s="4" t="s">
        <v>384</v>
      </c>
    </row>
    <row r="167" spans="2:18" s="2" customFormat="1" ht="18" customHeight="1" x14ac:dyDescent="0.2">
      <c r="B167" s="8">
        <f t="shared" si="13"/>
        <v>150</v>
      </c>
      <c r="C167" s="4" t="s">
        <v>22</v>
      </c>
      <c r="D167" s="4">
        <v>8800222</v>
      </c>
      <c r="E167" s="20" t="str">
        <f t="shared" si="12"/>
        <v>8800222</v>
      </c>
      <c r="F167" s="4" t="s">
        <v>11</v>
      </c>
      <c r="G167" s="4" t="s">
        <v>176</v>
      </c>
      <c r="H167" s="4" t="s">
        <v>452</v>
      </c>
      <c r="I167" s="4"/>
      <c r="J167" s="4" t="s">
        <v>177</v>
      </c>
      <c r="K167" s="4" t="s">
        <v>72</v>
      </c>
      <c r="L167" s="4"/>
      <c r="M167" s="4" t="s">
        <v>25</v>
      </c>
      <c r="N167" s="4">
        <v>0</v>
      </c>
      <c r="O167" s="4" t="s">
        <v>38</v>
      </c>
      <c r="P167" s="4"/>
      <c r="Q167" s="4" t="s">
        <v>397</v>
      </c>
      <c r="R167" s="4" t="s">
        <v>384</v>
      </c>
    </row>
    <row r="168" spans="2:18" s="2" customFormat="1" ht="18" customHeight="1" x14ac:dyDescent="0.2">
      <c r="B168" s="19">
        <f t="shared" si="13"/>
        <v>151</v>
      </c>
      <c r="C168" s="18" t="s">
        <v>16</v>
      </c>
      <c r="D168" s="18">
        <v>160214126</v>
      </c>
      <c r="E168" s="18" t="str">
        <f t="shared" si="12"/>
        <v>160214126</v>
      </c>
      <c r="F168" s="18" t="s">
        <v>11</v>
      </c>
      <c r="G168" s="26" t="s">
        <v>50</v>
      </c>
      <c r="H168" s="26" t="s">
        <v>437</v>
      </c>
      <c r="I168" s="18" t="s">
        <v>528</v>
      </c>
      <c r="J168" s="18" t="s">
        <v>178</v>
      </c>
      <c r="K168" s="18" t="s">
        <v>14</v>
      </c>
      <c r="L168" s="18"/>
      <c r="M168" s="18" t="s">
        <v>21</v>
      </c>
      <c r="N168" s="18">
        <v>1</v>
      </c>
      <c r="O168" s="18" t="s">
        <v>38</v>
      </c>
      <c r="P168" s="18"/>
      <c r="Q168" s="18" t="s">
        <v>393</v>
      </c>
      <c r="R168" s="18" t="s">
        <v>400</v>
      </c>
    </row>
    <row r="169" spans="2:18" s="2" customFormat="1" ht="18" customHeight="1" x14ac:dyDescent="0.2">
      <c r="B169" s="8">
        <f t="shared" si="13"/>
        <v>152</v>
      </c>
      <c r="C169" s="4" t="s">
        <v>22</v>
      </c>
      <c r="D169" s="4">
        <v>4501115</v>
      </c>
      <c r="E169" s="20" t="str">
        <f t="shared" si="12"/>
        <v>4501115</v>
      </c>
      <c r="F169" s="4" t="s">
        <v>11</v>
      </c>
      <c r="G169" s="4" t="s">
        <v>109</v>
      </c>
      <c r="H169" s="4" t="s">
        <v>432</v>
      </c>
      <c r="I169" s="4"/>
      <c r="J169" s="4" t="s">
        <v>179</v>
      </c>
      <c r="K169" s="4" t="s">
        <v>14</v>
      </c>
      <c r="L169" s="4"/>
      <c r="M169" s="4" t="s">
        <v>55</v>
      </c>
      <c r="N169" s="4">
        <v>4</v>
      </c>
      <c r="O169" s="4" t="s">
        <v>15</v>
      </c>
      <c r="P169" s="4"/>
      <c r="Q169" s="4" t="s">
        <v>397</v>
      </c>
      <c r="R169" s="4" t="s">
        <v>384</v>
      </c>
    </row>
    <row r="170" spans="2:18" s="2" customFormat="1" ht="18" customHeight="1" x14ac:dyDescent="0.2">
      <c r="B170" s="8">
        <f t="shared" si="13"/>
        <v>153</v>
      </c>
      <c r="C170" s="4" t="s">
        <v>22</v>
      </c>
      <c r="D170" s="4">
        <v>4501116</v>
      </c>
      <c r="E170" s="20" t="str">
        <f t="shared" si="12"/>
        <v>4501116</v>
      </c>
      <c r="F170" s="4" t="s">
        <v>11</v>
      </c>
      <c r="G170" s="4" t="s">
        <v>34</v>
      </c>
      <c r="H170" s="4" t="s">
        <v>418</v>
      </c>
      <c r="I170" s="4"/>
      <c r="J170" s="4" t="s">
        <v>52</v>
      </c>
      <c r="K170" s="4" t="s">
        <v>14</v>
      </c>
      <c r="L170" s="4"/>
      <c r="M170" s="4" t="s">
        <v>55</v>
      </c>
      <c r="N170" s="4">
        <v>4</v>
      </c>
      <c r="O170" s="4" t="s">
        <v>15</v>
      </c>
      <c r="P170" s="4"/>
      <c r="Q170" s="4" t="s">
        <v>397</v>
      </c>
      <c r="R170" s="4" t="s">
        <v>384</v>
      </c>
    </row>
    <row r="171" spans="2:18" s="2" customFormat="1" ht="18" customHeight="1" x14ac:dyDescent="0.2">
      <c r="B171" s="8">
        <f t="shared" si="13"/>
        <v>154</v>
      </c>
      <c r="C171" s="4" t="s">
        <v>22</v>
      </c>
      <c r="D171" s="4">
        <v>5000471</v>
      </c>
      <c r="E171" s="20" t="str">
        <f t="shared" si="12"/>
        <v>5000471</v>
      </c>
      <c r="F171" s="4" t="s">
        <v>11</v>
      </c>
      <c r="G171" s="4" t="s">
        <v>180</v>
      </c>
      <c r="H171" s="4" t="s">
        <v>453</v>
      </c>
      <c r="I171" s="4"/>
      <c r="J171" s="4" t="s">
        <v>181</v>
      </c>
      <c r="K171" s="4" t="s">
        <v>14</v>
      </c>
      <c r="L171" s="4"/>
      <c r="M171" s="4" t="s">
        <v>25</v>
      </c>
      <c r="N171" s="4">
        <v>0</v>
      </c>
      <c r="O171" s="4" t="s">
        <v>15</v>
      </c>
      <c r="P171" s="4"/>
      <c r="Q171" s="4" t="s">
        <v>397</v>
      </c>
      <c r="R171" s="4" t="s">
        <v>384</v>
      </c>
    </row>
    <row r="172" spans="2:18" s="2" customFormat="1" ht="18" customHeight="1" x14ac:dyDescent="0.2">
      <c r="B172" s="8">
        <f t="shared" si="13"/>
        <v>155</v>
      </c>
      <c r="C172" s="4" t="s">
        <v>22</v>
      </c>
      <c r="D172" s="4">
        <v>510000193</v>
      </c>
      <c r="E172" s="20" t="str">
        <f t="shared" si="12"/>
        <v>510000193</v>
      </c>
      <c r="F172" s="4" t="s">
        <v>11</v>
      </c>
      <c r="G172" s="4" t="s">
        <v>34</v>
      </c>
      <c r="H172" s="4" t="s">
        <v>418</v>
      </c>
      <c r="I172" s="4"/>
      <c r="J172" s="4" t="s">
        <v>182</v>
      </c>
      <c r="K172" s="4" t="s">
        <v>14</v>
      </c>
      <c r="L172" s="4"/>
      <c r="M172" s="4" t="s">
        <v>21</v>
      </c>
      <c r="N172" s="4">
        <v>1</v>
      </c>
      <c r="O172" s="4" t="s">
        <v>15</v>
      </c>
      <c r="P172" s="4"/>
      <c r="Q172" s="4" t="s">
        <v>397</v>
      </c>
      <c r="R172" s="4" t="s">
        <v>384</v>
      </c>
    </row>
    <row r="173" spans="2:18" s="2" customFormat="1" ht="18" customHeight="1" x14ac:dyDescent="0.2">
      <c r="B173" s="8">
        <f t="shared" si="13"/>
        <v>156</v>
      </c>
      <c r="C173" s="4" t="s">
        <v>22</v>
      </c>
      <c r="D173" s="4">
        <v>510002465</v>
      </c>
      <c r="E173" s="20" t="str">
        <f t="shared" si="12"/>
        <v>510002465</v>
      </c>
      <c r="F173" s="4" t="s">
        <v>11</v>
      </c>
      <c r="G173" s="4" t="s">
        <v>183</v>
      </c>
      <c r="H173" s="4" t="s">
        <v>454</v>
      </c>
      <c r="I173" s="4"/>
      <c r="J173" s="4" t="s">
        <v>184</v>
      </c>
      <c r="K173" s="4" t="s">
        <v>14</v>
      </c>
      <c r="L173" s="4"/>
      <c r="M173" s="4" t="s">
        <v>18</v>
      </c>
      <c r="N173" s="4">
        <v>2</v>
      </c>
      <c r="O173" s="4" t="s">
        <v>15</v>
      </c>
      <c r="P173" s="4"/>
      <c r="Q173" s="4" t="s">
        <v>397</v>
      </c>
      <c r="R173" s="4" t="s">
        <v>384</v>
      </c>
    </row>
    <row r="174" spans="2:18" s="2" customFormat="1" ht="18" customHeight="1" x14ac:dyDescent="0.2">
      <c r="B174" s="8">
        <f t="shared" si="13"/>
        <v>157</v>
      </c>
      <c r="C174" s="4" t="s">
        <v>22</v>
      </c>
      <c r="D174" s="4">
        <v>5101288</v>
      </c>
      <c r="E174" s="20" t="str">
        <f t="shared" ref="E174:E205" si="14">TRIM(D174)</f>
        <v>5101288</v>
      </c>
      <c r="F174" s="4" t="s">
        <v>11</v>
      </c>
      <c r="G174" s="4" t="s">
        <v>134</v>
      </c>
      <c r="H174" s="4" t="s">
        <v>455</v>
      </c>
      <c r="I174" s="4"/>
      <c r="J174" s="4" t="s">
        <v>185</v>
      </c>
      <c r="K174" s="4" t="s">
        <v>14</v>
      </c>
      <c r="L174" s="4"/>
      <c r="M174" s="4" t="s">
        <v>21</v>
      </c>
      <c r="N174" s="4">
        <v>1</v>
      </c>
      <c r="O174" s="4" t="s">
        <v>15</v>
      </c>
      <c r="P174" s="4"/>
      <c r="Q174" s="4" t="s">
        <v>397</v>
      </c>
      <c r="R174" s="4" t="s">
        <v>384</v>
      </c>
    </row>
    <row r="175" spans="2:18" s="2" customFormat="1" ht="18" customHeight="1" x14ac:dyDescent="0.2">
      <c r="B175" s="8">
        <f t="shared" si="13"/>
        <v>158</v>
      </c>
      <c r="C175" s="4" t="s">
        <v>22</v>
      </c>
      <c r="D175" s="4">
        <v>5101290</v>
      </c>
      <c r="E175" s="20" t="str">
        <f t="shared" si="14"/>
        <v>5101290</v>
      </c>
      <c r="F175" s="4" t="s">
        <v>11</v>
      </c>
      <c r="G175" s="4" t="s">
        <v>186</v>
      </c>
      <c r="H175" s="4" t="s">
        <v>456</v>
      </c>
      <c r="I175" s="4"/>
      <c r="J175" s="4" t="s">
        <v>187</v>
      </c>
      <c r="K175" s="4" t="s">
        <v>14</v>
      </c>
      <c r="L175" s="4"/>
      <c r="M175" s="4" t="s">
        <v>21</v>
      </c>
      <c r="N175" s="4">
        <v>1</v>
      </c>
      <c r="O175" s="4" t="s">
        <v>15</v>
      </c>
      <c r="P175" s="4"/>
      <c r="Q175" s="4" t="s">
        <v>397</v>
      </c>
      <c r="R175" s="4" t="s">
        <v>384</v>
      </c>
    </row>
    <row r="176" spans="2:18" s="2" customFormat="1" ht="18" customHeight="1" x14ac:dyDescent="0.2">
      <c r="B176" s="8">
        <f t="shared" si="13"/>
        <v>159</v>
      </c>
      <c r="C176" s="4" t="s">
        <v>22</v>
      </c>
      <c r="D176" s="4">
        <v>5101521</v>
      </c>
      <c r="E176" s="20" t="str">
        <f t="shared" si="14"/>
        <v>5101521</v>
      </c>
      <c r="F176" s="4" t="s">
        <v>11</v>
      </c>
      <c r="G176" s="4" t="s">
        <v>188</v>
      </c>
      <c r="H176" s="4" t="s">
        <v>440</v>
      </c>
      <c r="I176" s="4"/>
      <c r="J176" s="4" t="s">
        <v>189</v>
      </c>
      <c r="K176" s="4" t="s">
        <v>14</v>
      </c>
      <c r="L176" s="4"/>
      <c r="M176" s="4" t="s">
        <v>132</v>
      </c>
      <c r="N176" s="4">
        <v>8</v>
      </c>
      <c r="O176" s="4" t="s">
        <v>15</v>
      </c>
      <c r="P176" s="4"/>
      <c r="Q176" s="4" t="s">
        <v>397</v>
      </c>
      <c r="R176" s="4" t="s">
        <v>385</v>
      </c>
    </row>
    <row r="177" spans="2:18" s="2" customFormat="1" ht="18" customHeight="1" x14ac:dyDescent="0.2">
      <c r="B177" s="8">
        <f t="shared" si="13"/>
        <v>160</v>
      </c>
      <c r="C177" s="4" t="s">
        <v>22</v>
      </c>
      <c r="D177" s="4">
        <v>5101522</v>
      </c>
      <c r="E177" s="20" t="str">
        <f t="shared" si="14"/>
        <v>5101522</v>
      </c>
      <c r="F177" s="4" t="s">
        <v>11</v>
      </c>
      <c r="G177" s="4" t="s">
        <v>58</v>
      </c>
      <c r="H177" s="4" t="s">
        <v>421</v>
      </c>
      <c r="I177" s="4"/>
      <c r="J177" s="4" t="s">
        <v>59</v>
      </c>
      <c r="K177" s="4" t="s">
        <v>14</v>
      </c>
      <c r="L177" s="4"/>
      <c r="M177" s="4" t="s">
        <v>190</v>
      </c>
      <c r="N177" s="4">
        <v>5</v>
      </c>
      <c r="O177" s="4" t="s">
        <v>15</v>
      </c>
      <c r="P177" s="4"/>
      <c r="Q177" s="4" t="s">
        <v>397</v>
      </c>
      <c r="R177" s="4" t="s">
        <v>384</v>
      </c>
    </row>
    <row r="178" spans="2:18" s="2" customFormat="1" ht="18" customHeight="1" x14ac:dyDescent="0.2">
      <c r="B178" s="8">
        <f t="shared" si="13"/>
        <v>161</v>
      </c>
      <c r="C178" s="4" t="s">
        <v>22</v>
      </c>
      <c r="D178" s="4">
        <v>5101787</v>
      </c>
      <c r="E178" s="20" t="str">
        <f t="shared" si="14"/>
        <v>5101787</v>
      </c>
      <c r="F178" s="4" t="s">
        <v>11</v>
      </c>
      <c r="G178" s="4" t="s">
        <v>186</v>
      </c>
      <c r="H178" s="4" t="s">
        <v>456</v>
      </c>
      <c r="I178" s="4"/>
      <c r="J178" s="4" t="s">
        <v>191</v>
      </c>
      <c r="K178" s="4" t="s">
        <v>14</v>
      </c>
      <c r="L178" s="4"/>
      <c r="M178" s="4" t="s">
        <v>18</v>
      </c>
      <c r="N178" s="4">
        <v>2</v>
      </c>
      <c r="O178" s="4" t="s">
        <v>15</v>
      </c>
      <c r="P178" s="4"/>
      <c r="Q178" s="4" t="s">
        <v>397</v>
      </c>
      <c r="R178" s="4" t="s">
        <v>385</v>
      </c>
    </row>
    <row r="179" spans="2:18" s="2" customFormat="1" ht="18" customHeight="1" x14ac:dyDescent="0.2">
      <c r="B179" s="8">
        <f t="shared" si="13"/>
        <v>162</v>
      </c>
      <c r="C179" s="4" t="s">
        <v>22</v>
      </c>
      <c r="D179" s="4">
        <v>5101788</v>
      </c>
      <c r="E179" s="20" t="str">
        <f t="shared" si="14"/>
        <v>5101788</v>
      </c>
      <c r="F179" s="4" t="s">
        <v>11</v>
      </c>
      <c r="G179" s="4" t="s">
        <v>23</v>
      </c>
      <c r="H179" s="4" t="s">
        <v>454</v>
      </c>
      <c r="I179" s="4"/>
      <c r="J179" s="4" t="s">
        <v>192</v>
      </c>
      <c r="K179" s="4" t="s">
        <v>14</v>
      </c>
      <c r="L179" s="4"/>
      <c r="M179" s="4" t="s">
        <v>18</v>
      </c>
      <c r="N179" s="4">
        <v>2</v>
      </c>
      <c r="O179" s="4" t="s">
        <v>38</v>
      </c>
      <c r="P179" s="4"/>
      <c r="Q179" s="4" t="s">
        <v>397</v>
      </c>
      <c r="R179" s="4" t="s">
        <v>384</v>
      </c>
    </row>
    <row r="180" spans="2:18" s="2" customFormat="1" ht="18" customHeight="1" x14ac:dyDescent="0.2">
      <c r="B180" s="8">
        <f t="shared" si="13"/>
        <v>163</v>
      </c>
      <c r="C180" s="4" t="s">
        <v>22</v>
      </c>
      <c r="D180" s="4">
        <v>5101967</v>
      </c>
      <c r="E180" s="20" t="str">
        <f t="shared" si="14"/>
        <v>5101967</v>
      </c>
      <c r="F180" s="4" t="s">
        <v>11</v>
      </c>
      <c r="G180" s="4" t="s">
        <v>60</v>
      </c>
      <c r="H180" s="4" t="s">
        <v>422</v>
      </c>
      <c r="I180" s="4"/>
      <c r="J180" s="4" t="s">
        <v>61</v>
      </c>
      <c r="K180" s="4" t="s">
        <v>14</v>
      </c>
      <c r="L180" s="4"/>
      <c r="M180" s="4" t="s">
        <v>55</v>
      </c>
      <c r="N180" s="4">
        <v>4</v>
      </c>
      <c r="O180" s="4" t="s">
        <v>15</v>
      </c>
      <c r="P180" s="4"/>
      <c r="Q180" s="4" t="s">
        <v>397</v>
      </c>
      <c r="R180" s="4" t="s">
        <v>385</v>
      </c>
    </row>
    <row r="181" spans="2:18" s="2" customFormat="1" ht="18" customHeight="1" x14ac:dyDescent="0.2">
      <c r="B181" s="8">
        <f t="shared" ref="B181:B212" si="15">B180+1</f>
        <v>164</v>
      </c>
      <c r="C181" s="4" t="s">
        <v>22</v>
      </c>
      <c r="D181" s="4">
        <v>5101968</v>
      </c>
      <c r="E181" s="20" t="str">
        <f t="shared" si="14"/>
        <v>5101968</v>
      </c>
      <c r="F181" s="4" t="s">
        <v>11</v>
      </c>
      <c r="G181" s="4" t="s">
        <v>60</v>
      </c>
      <c r="H181" s="4" t="s">
        <v>422</v>
      </c>
      <c r="I181" s="4"/>
      <c r="J181" s="4" t="s">
        <v>193</v>
      </c>
      <c r="K181" s="4" t="s">
        <v>14</v>
      </c>
      <c r="L181" s="4"/>
      <c r="M181" s="4" t="s">
        <v>55</v>
      </c>
      <c r="N181" s="4">
        <v>4</v>
      </c>
      <c r="O181" s="4" t="s">
        <v>15</v>
      </c>
      <c r="P181" s="4"/>
      <c r="Q181" s="4" t="s">
        <v>397</v>
      </c>
      <c r="R181" s="4" t="s">
        <v>384</v>
      </c>
    </row>
    <row r="182" spans="2:18" s="2" customFormat="1" ht="18" customHeight="1" x14ac:dyDescent="0.2">
      <c r="B182" s="8">
        <f t="shared" si="15"/>
        <v>165</v>
      </c>
      <c r="C182" s="4" t="s">
        <v>22</v>
      </c>
      <c r="D182" s="4">
        <v>5102016</v>
      </c>
      <c r="E182" s="20" t="str">
        <f t="shared" si="14"/>
        <v>5102016</v>
      </c>
      <c r="F182" s="4" t="s">
        <v>11</v>
      </c>
      <c r="G182" s="4" t="s">
        <v>34</v>
      </c>
      <c r="H182" s="4" t="s">
        <v>418</v>
      </c>
      <c r="I182" s="4"/>
      <c r="J182" s="4" t="s">
        <v>194</v>
      </c>
      <c r="K182" s="4" t="s">
        <v>14</v>
      </c>
      <c r="L182" s="4"/>
      <c r="M182" s="4" t="s">
        <v>18</v>
      </c>
      <c r="N182" s="4">
        <v>2</v>
      </c>
      <c r="O182" s="4" t="s">
        <v>15</v>
      </c>
      <c r="P182" s="4"/>
      <c r="Q182" s="4" t="s">
        <v>397</v>
      </c>
      <c r="R182" s="4" t="s">
        <v>384</v>
      </c>
    </row>
    <row r="183" spans="2:18" s="2" customFormat="1" ht="18" customHeight="1" x14ac:dyDescent="0.2">
      <c r="B183" s="8">
        <f t="shared" si="15"/>
        <v>166</v>
      </c>
      <c r="C183" s="4" t="s">
        <v>22</v>
      </c>
      <c r="D183" s="4">
        <v>5102165</v>
      </c>
      <c r="E183" s="20" t="str">
        <f t="shared" si="14"/>
        <v>5102165</v>
      </c>
      <c r="F183" s="4" t="s">
        <v>11</v>
      </c>
      <c r="G183" s="4" t="s">
        <v>188</v>
      </c>
      <c r="H183" s="4" t="s">
        <v>440</v>
      </c>
      <c r="I183" s="4"/>
      <c r="J183" s="4" t="s">
        <v>195</v>
      </c>
      <c r="K183" s="4" t="s">
        <v>14</v>
      </c>
      <c r="L183" s="4"/>
      <c r="M183" s="4" t="s">
        <v>196</v>
      </c>
      <c r="N183" s="4">
        <v>58</v>
      </c>
      <c r="O183" s="4" t="s">
        <v>15</v>
      </c>
      <c r="P183" s="4"/>
      <c r="Q183" s="4" t="s">
        <v>397</v>
      </c>
      <c r="R183" s="4" t="s">
        <v>384</v>
      </c>
    </row>
    <row r="184" spans="2:18" s="2" customFormat="1" ht="18" customHeight="1" x14ac:dyDescent="0.2">
      <c r="B184" s="8">
        <f t="shared" si="15"/>
        <v>167</v>
      </c>
      <c r="C184" s="4" t="s">
        <v>22</v>
      </c>
      <c r="D184" s="4">
        <v>5102425</v>
      </c>
      <c r="E184" s="20" t="str">
        <f t="shared" si="14"/>
        <v>5102425</v>
      </c>
      <c r="F184" s="4" t="s">
        <v>11</v>
      </c>
      <c r="G184" s="4" t="s">
        <v>109</v>
      </c>
      <c r="H184" s="4" t="s">
        <v>432</v>
      </c>
      <c r="I184" s="4"/>
      <c r="J184" s="4" t="s">
        <v>197</v>
      </c>
      <c r="K184" s="4" t="s">
        <v>14</v>
      </c>
      <c r="L184" s="4"/>
      <c r="M184" s="4" t="s">
        <v>21</v>
      </c>
      <c r="N184" s="4">
        <v>1</v>
      </c>
      <c r="O184" s="4" t="s">
        <v>15</v>
      </c>
      <c r="P184" s="4"/>
      <c r="Q184" s="4" t="s">
        <v>397</v>
      </c>
      <c r="R184" s="4" t="s">
        <v>384</v>
      </c>
    </row>
    <row r="185" spans="2:18" s="2" customFormat="1" ht="18" customHeight="1" x14ac:dyDescent="0.2">
      <c r="B185" s="8">
        <f t="shared" si="15"/>
        <v>168</v>
      </c>
      <c r="C185" s="4" t="s">
        <v>22</v>
      </c>
      <c r="D185" s="4">
        <v>5102452</v>
      </c>
      <c r="E185" s="20" t="str">
        <f t="shared" si="14"/>
        <v>5102452</v>
      </c>
      <c r="F185" s="4" t="s">
        <v>11</v>
      </c>
      <c r="G185" s="4" t="s">
        <v>23</v>
      </c>
      <c r="H185" s="4" t="s">
        <v>410</v>
      </c>
      <c r="I185" s="4"/>
      <c r="J185" s="4" t="s">
        <v>198</v>
      </c>
      <c r="K185" s="4" t="s">
        <v>14</v>
      </c>
      <c r="L185" s="4"/>
      <c r="M185" s="4" t="s">
        <v>18</v>
      </c>
      <c r="N185" s="4">
        <v>2</v>
      </c>
      <c r="O185" s="4" t="s">
        <v>15</v>
      </c>
      <c r="P185" s="4"/>
      <c r="Q185" s="4" t="s">
        <v>397</v>
      </c>
      <c r="R185" s="4" t="s">
        <v>384</v>
      </c>
    </row>
    <row r="186" spans="2:18" s="2" customFormat="1" ht="18" customHeight="1" x14ac:dyDescent="0.2">
      <c r="B186" s="8">
        <f t="shared" si="15"/>
        <v>169</v>
      </c>
      <c r="C186" s="4" t="s">
        <v>22</v>
      </c>
      <c r="D186" s="4">
        <v>5102545</v>
      </c>
      <c r="E186" s="20" t="str">
        <f t="shared" si="14"/>
        <v>5102545</v>
      </c>
      <c r="F186" s="4" t="s">
        <v>11</v>
      </c>
      <c r="G186" s="4" t="s">
        <v>109</v>
      </c>
      <c r="H186" s="4" t="s">
        <v>432</v>
      </c>
      <c r="I186" s="4"/>
      <c r="J186" s="4" t="s">
        <v>199</v>
      </c>
      <c r="K186" s="4" t="s">
        <v>14</v>
      </c>
      <c r="L186" s="4"/>
      <c r="M186" s="4" t="s">
        <v>200</v>
      </c>
      <c r="N186" s="4">
        <v>6</v>
      </c>
      <c r="O186" s="4" t="s">
        <v>15</v>
      </c>
      <c r="P186" s="4"/>
      <c r="Q186" s="4" t="s">
        <v>397</v>
      </c>
      <c r="R186" s="4" t="s">
        <v>384</v>
      </c>
    </row>
    <row r="187" spans="2:18" s="2" customFormat="1" ht="18" customHeight="1" x14ac:dyDescent="0.2">
      <c r="B187" s="8">
        <f t="shared" si="15"/>
        <v>170</v>
      </c>
      <c r="C187" s="4" t="s">
        <v>22</v>
      </c>
      <c r="D187" s="4">
        <v>5102566</v>
      </c>
      <c r="E187" s="20" t="str">
        <f t="shared" si="14"/>
        <v>5102566</v>
      </c>
      <c r="F187" s="4" t="s">
        <v>11</v>
      </c>
      <c r="G187" s="4" t="s">
        <v>34</v>
      </c>
      <c r="H187" s="4" t="s">
        <v>418</v>
      </c>
      <c r="I187" s="4"/>
      <c r="J187" s="4" t="s">
        <v>201</v>
      </c>
      <c r="K187" s="4" t="s">
        <v>14</v>
      </c>
      <c r="L187" s="4"/>
      <c r="M187" s="4" t="s">
        <v>21</v>
      </c>
      <c r="N187" s="4">
        <v>1</v>
      </c>
      <c r="O187" s="4" t="s">
        <v>15</v>
      </c>
      <c r="P187" s="4"/>
      <c r="Q187" s="4" t="s">
        <v>397</v>
      </c>
      <c r="R187" s="4" t="s">
        <v>384</v>
      </c>
    </row>
    <row r="188" spans="2:18" s="2" customFormat="1" ht="18" customHeight="1" x14ac:dyDescent="0.2">
      <c r="B188" s="8">
        <f t="shared" si="15"/>
        <v>171</v>
      </c>
      <c r="C188" s="4" t="s">
        <v>22</v>
      </c>
      <c r="D188" s="4">
        <v>5102695</v>
      </c>
      <c r="E188" s="20" t="str">
        <f t="shared" si="14"/>
        <v>5102695</v>
      </c>
      <c r="F188" s="4" t="s">
        <v>11</v>
      </c>
      <c r="G188" s="4" t="s">
        <v>188</v>
      </c>
      <c r="H188" s="4" t="s">
        <v>440</v>
      </c>
      <c r="I188" s="4"/>
      <c r="J188" s="4" t="s">
        <v>202</v>
      </c>
      <c r="K188" s="4" t="s">
        <v>14</v>
      </c>
      <c r="L188" s="4"/>
      <c r="M188" s="4" t="s">
        <v>18</v>
      </c>
      <c r="N188" s="4">
        <v>2</v>
      </c>
      <c r="O188" s="4" t="s">
        <v>15</v>
      </c>
      <c r="P188" s="4"/>
      <c r="Q188" s="4" t="s">
        <v>397</v>
      </c>
      <c r="R188" s="4" t="s">
        <v>384</v>
      </c>
    </row>
    <row r="189" spans="2:18" s="2" customFormat="1" ht="18" customHeight="1" x14ac:dyDescent="0.2">
      <c r="B189" s="8">
        <f t="shared" si="15"/>
        <v>172</v>
      </c>
      <c r="C189" s="4" t="s">
        <v>22</v>
      </c>
      <c r="D189" s="4">
        <v>5102725</v>
      </c>
      <c r="E189" s="20" t="str">
        <f t="shared" si="14"/>
        <v>5102725</v>
      </c>
      <c r="F189" s="4" t="s">
        <v>11</v>
      </c>
      <c r="G189" s="4" t="s">
        <v>34</v>
      </c>
      <c r="H189" s="4" t="s">
        <v>418</v>
      </c>
      <c r="I189" s="4"/>
      <c r="J189" s="4" t="s">
        <v>203</v>
      </c>
      <c r="K189" s="4" t="s">
        <v>14</v>
      </c>
      <c r="L189" s="4"/>
      <c r="M189" s="4" t="s">
        <v>21</v>
      </c>
      <c r="N189" s="4">
        <v>1</v>
      </c>
      <c r="O189" s="4" t="s">
        <v>15</v>
      </c>
      <c r="P189" s="4"/>
      <c r="Q189" s="4" t="s">
        <v>397</v>
      </c>
      <c r="R189" s="4" t="s">
        <v>384</v>
      </c>
    </row>
    <row r="190" spans="2:18" s="2" customFormat="1" ht="18" customHeight="1" x14ac:dyDescent="0.2">
      <c r="B190" s="8">
        <f t="shared" si="15"/>
        <v>173</v>
      </c>
      <c r="C190" s="4" t="s">
        <v>22</v>
      </c>
      <c r="D190" s="4">
        <v>5102868</v>
      </c>
      <c r="E190" s="20" t="str">
        <f t="shared" si="14"/>
        <v>5102868</v>
      </c>
      <c r="F190" s="4" t="s">
        <v>11</v>
      </c>
      <c r="G190" s="4" t="s">
        <v>204</v>
      </c>
      <c r="H190" s="4" t="s">
        <v>428</v>
      </c>
      <c r="I190" s="4"/>
      <c r="J190" s="4" t="s">
        <v>205</v>
      </c>
      <c r="K190" s="4" t="s">
        <v>14</v>
      </c>
      <c r="L190" s="4"/>
      <c r="M190" s="4" t="s">
        <v>206</v>
      </c>
      <c r="N190" s="4">
        <v>24</v>
      </c>
      <c r="O190" s="4" t="s">
        <v>15</v>
      </c>
      <c r="P190" s="4"/>
      <c r="Q190" s="4" t="s">
        <v>397</v>
      </c>
      <c r="R190" s="4" t="s">
        <v>384</v>
      </c>
    </row>
    <row r="191" spans="2:18" s="2" customFormat="1" ht="18" customHeight="1" x14ac:dyDescent="0.2">
      <c r="B191" s="8">
        <f t="shared" si="15"/>
        <v>174</v>
      </c>
      <c r="C191" s="4" t="s">
        <v>22</v>
      </c>
      <c r="D191" s="4">
        <v>5102969</v>
      </c>
      <c r="E191" s="20" t="str">
        <f t="shared" si="14"/>
        <v>5102969</v>
      </c>
      <c r="F191" s="4" t="s">
        <v>11</v>
      </c>
      <c r="G191" s="4" t="s">
        <v>120</v>
      </c>
      <c r="H191" s="4" t="s">
        <v>437</v>
      </c>
      <c r="I191" s="4"/>
      <c r="J191" s="4" t="s">
        <v>121</v>
      </c>
      <c r="K191" s="4" t="s">
        <v>14</v>
      </c>
      <c r="L191" s="4"/>
      <c r="M191" s="4" t="s">
        <v>21</v>
      </c>
      <c r="N191" s="4">
        <v>1</v>
      </c>
      <c r="O191" s="4" t="s">
        <v>15</v>
      </c>
      <c r="P191" s="4"/>
      <c r="Q191" s="4" t="s">
        <v>397</v>
      </c>
      <c r="R191" s="4" t="s">
        <v>384</v>
      </c>
    </row>
    <row r="192" spans="2:18" s="2" customFormat="1" ht="18" customHeight="1" x14ac:dyDescent="0.2">
      <c r="B192" s="8">
        <f t="shared" si="15"/>
        <v>175</v>
      </c>
      <c r="C192" s="4" t="s">
        <v>22</v>
      </c>
      <c r="D192" s="4">
        <v>5102972</v>
      </c>
      <c r="E192" s="20" t="str">
        <f t="shared" si="14"/>
        <v>5102972</v>
      </c>
      <c r="F192" s="4" t="s">
        <v>11</v>
      </c>
      <c r="G192" s="4" t="s">
        <v>207</v>
      </c>
      <c r="H192" s="4" t="s">
        <v>457</v>
      </c>
      <c r="I192" s="4"/>
      <c r="J192" s="4" t="s">
        <v>208</v>
      </c>
      <c r="K192" s="4" t="s">
        <v>14</v>
      </c>
      <c r="L192" s="4"/>
      <c r="M192" s="4" t="s">
        <v>209</v>
      </c>
      <c r="N192" s="4">
        <v>16</v>
      </c>
      <c r="O192" s="4" t="s">
        <v>15</v>
      </c>
      <c r="P192" s="4"/>
      <c r="Q192" s="4" t="s">
        <v>397</v>
      </c>
      <c r="R192" s="4" t="s">
        <v>384</v>
      </c>
    </row>
    <row r="193" spans="2:18" s="2" customFormat="1" ht="18" customHeight="1" x14ac:dyDescent="0.2">
      <c r="B193" s="8">
        <f t="shared" si="15"/>
        <v>176</v>
      </c>
      <c r="C193" s="4" t="s">
        <v>22</v>
      </c>
      <c r="D193" s="4">
        <v>570000209</v>
      </c>
      <c r="E193" s="20" t="str">
        <f t="shared" si="14"/>
        <v>570000209</v>
      </c>
      <c r="F193" s="4" t="s">
        <v>11</v>
      </c>
      <c r="G193" s="4" t="s">
        <v>60</v>
      </c>
      <c r="H193" s="4" t="s">
        <v>422</v>
      </c>
      <c r="I193" s="4"/>
      <c r="J193" s="4" t="s">
        <v>210</v>
      </c>
      <c r="K193" s="4" t="s">
        <v>14</v>
      </c>
      <c r="L193" s="4"/>
      <c r="M193" s="4" t="s">
        <v>211</v>
      </c>
      <c r="N193" s="4">
        <v>12</v>
      </c>
      <c r="O193" s="4" t="s">
        <v>15</v>
      </c>
      <c r="P193" s="4"/>
      <c r="Q193" s="4" t="s">
        <v>397</v>
      </c>
      <c r="R193" s="4" t="s">
        <v>384</v>
      </c>
    </row>
    <row r="194" spans="2:18" s="2" customFormat="1" ht="18" customHeight="1" x14ac:dyDescent="0.2">
      <c r="B194" s="8">
        <f t="shared" si="15"/>
        <v>177</v>
      </c>
      <c r="C194" s="4" t="s">
        <v>22</v>
      </c>
      <c r="D194" s="4">
        <v>570000585</v>
      </c>
      <c r="E194" s="20" t="str">
        <f t="shared" si="14"/>
        <v>570000585</v>
      </c>
      <c r="F194" s="4" t="s">
        <v>11</v>
      </c>
      <c r="G194" s="4" t="s">
        <v>60</v>
      </c>
      <c r="H194" s="4" t="s">
        <v>422</v>
      </c>
      <c r="I194" s="4"/>
      <c r="J194" s="4" t="s">
        <v>387</v>
      </c>
      <c r="K194" s="4" t="s">
        <v>14</v>
      </c>
      <c r="L194" s="4"/>
      <c r="M194" s="4" t="s">
        <v>21</v>
      </c>
      <c r="N194" s="4">
        <v>1</v>
      </c>
      <c r="O194" s="4" t="s">
        <v>15</v>
      </c>
      <c r="P194" s="4"/>
      <c r="Q194" s="4" t="s">
        <v>397</v>
      </c>
      <c r="R194" s="4" t="s">
        <v>384</v>
      </c>
    </row>
    <row r="195" spans="2:18" s="2" customFormat="1" ht="18" customHeight="1" x14ac:dyDescent="0.2">
      <c r="B195" s="8">
        <f t="shared" si="15"/>
        <v>178</v>
      </c>
      <c r="C195" s="4" t="s">
        <v>22</v>
      </c>
      <c r="D195" s="4">
        <v>570000896</v>
      </c>
      <c r="E195" s="20" t="str">
        <f t="shared" si="14"/>
        <v>570000896</v>
      </c>
      <c r="F195" s="4" t="s">
        <v>11</v>
      </c>
      <c r="G195" s="4" t="s">
        <v>34</v>
      </c>
      <c r="H195" s="4" t="s">
        <v>418</v>
      </c>
      <c r="I195" s="4"/>
      <c r="J195" s="4" t="s">
        <v>212</v>
      </c>
      <c r="K195" s="4" t="s">
        <v>14</v>
      </c>
      <c r="L195" s="4"/>
      <c r="M195" s="4" t="s">
        <v>18</v>
      </c>
      <c r="N195" s="4">
        <v>2</v>
      </c>
      <c r="O195" s="4" t="s">
        <v>15</v>
      </c>
      <c r="P195" s="4"/>
      <c r="Q195" s="4" t="s">
        <v>397</v>
      </c>
      <c r="R195" s="4" t="s">
        <v>384</v>
      </c>
    </row>
    <row r="196" spans="2:18" s="2" customFormat="1" ht="18" customHeight="1" x14ac:dyDescent="0.2">
      <c r="B196" s="8">
        <f t="shared" si="15"/>
        <v>179</v>
      </c>
      <c r="C196" s="4" t="s">
        <v>22</v>
      </c>
      <c r="D196" s="4">
        <v>7700004</v>
      </c>
      <c r="E196" s="20" t="str">
        <f t="shared" si="14"/>
        <v>7700004</v>
      </c>
      <c r="F196" s="4" t="s">
        <v>11</v>
      </c>
      <c r="G196" s="4" t="s">
        <v>213</v>
      </c>
      <c r="H196" s="4" t="s">
        <v>458</v>
      </c>
      <c r="I196" s="4"/>
      <c r="J196" s="4" t="s">
        <v>214</v>
      </c>
      <c r="K196" s="4" t="s">
        <v>14</v>
      </c>
      <c r="L196" s="4"/>
      <c r="M196" s="4" t="s">
        <v>215</v>
      </c>
      <c r="N196" s="4">
        <v>28</v>
      </c>
      <c r="O196" s="4" t="s">
        <v>15</v>
      </c>
      <c r="P196" s="4"/>
      <c r="Q196" s="4" t="s">
        <v>397</v>
      </c>
      <c r="R196" s="4" t="s">
        <v>384</v>
      </c>
    </row>
    <row r="197" spans="2:18" s="2" customFormat="1" ht="18" customHeight="1" x14ac:dyDescent="0.2">
      <c r="B197" s="8">
        <f t="shared" si="15"/>
        <v>180</v>
      </c>
      <c r="C197" s="4" t="s">
        <v>22</v>
      </c>
      <c r="D197" s="4">
        <v>7700071</v>
      </c>
      <c r="E197" s="20" t="str">
        <f t="shared" si="14"/>
        <v>7700071</v>
      </c>
      <c r="F197" s="4" t="s">
        <v>11</v>
      </c>
      <c r="G197" s="4" t="s">
        <v>216</v>
      </c>
      <c r="H197" s="4" t="s">
        <v>459</v>
      </c>
      <c r="I197" s="4"/>
      <c r="J197" s="4" t="s">
        <v>217</v>
      </c>
      <c r="K197" s="4" t="s">
        <v>14</v>
      </c>
      <c r="L197" s="4"/>
      <c r="M197" s="4" t="s">
        <v>218</v>
      </c>
      <c r="N197" s="4">
        <v>10.5</v>
      </c>
      <c r="O197" s="4" t="s">
        <v>15</v>
      </c>
      <c r="P197" s="4"/>
      <c r="Q197" s="4" t="s">
        <v>397</v>
      </c>
      <c r="R197" s="4" t="s">
        <v>384</v>
      </c>
    </row>
    <row r="198" spans="2:18" s="2" customFormat="1" ht="18" customHeight="1" x14ac:dyDescent="0.2">
      <c r="B198" s="8">
        <f t="shared" si="15"/>
        <v>181</v>
      </c>
      <c r="C198" s="4" t="s">
        <v>22</v>
      </c>
      <c r="D198" s="4">
        <v>7700072</v>
      </c>
      <c r="E198" s="20" t="str">
        <f t="shared" si="14"/>
        <v>7700072</v>
      </c>
      <c r="F198" s="4" t="s">
        <v>11</v>
      </c>
      <c r="G198" s="4" t="s">
        <v>207</v>
      </c>
      <c r="H198" s="4" t="s">
        <v>457</v>
      </c>
      <c r="I198" s="4"/>
      <c r="J198" s="4" t="s">
        <v>219</v>
      </c>
      <c r="K198" s="4" t="s">
        <v>14</v>
      </c>
      <c r="L198" s="4"/>
      <c r="M198" s="4" t="s">
        <v>220</v>
      </c>
      <c r="N198" s="4">
        <v>3.8</v>
      </c>
      <c r="O198" s="4" t="s">
        <v>15</v>
      </c>
      <c r="P198" s="4"/>
      <c r="Q198" s="4" t="s">
        <v>397</v>
      </c>
      <c r="R198" s="4" t="s">
        <v>384</v>
      </c>
    </row>
    <row r="199" spans="2:18" s="2" customFormat="1" ht="18" customHeight="1" x14ac:dyDescent="0.2">
      <c r="B199" s="8">
        <f t="shared" si="15"/>
        <v>182</v>
      </c>
      <c r="C199" s="4" t="s">
        <v>22</v>
      </c>
      <c r="D199" s="4">
        <v>7700364</v>
      </c>
      <c r="E199" s="20" t="str">
        <f t="shared" si="14"/>
        <v>7700364</v>
      </c>
      <c r="F199" s="4" t="s">
        <v>11</v>
      </c>
      <c r="G199" s="4" t="s">
        <v>221</v>
      </c>
      <c r="H199" s="4" t="s">
        <v>460</v>
      </c>
      <c r="I199" s="4"/>
      <c r="J199" s="4" t="s">
        <v>222</v>
      </c>
      <c r="K199" s="4" t="s">
        <v>14</v>
      </c>
      <c r="L199" s="4"/>
      <c r="M199" s="4" t="s">
        <v>223</v>
      </c>
      <c r="N199" s="4">
        <v>9.75</v>
      </c>
      <c r="O199" s="4" t="s">
        <v>15</v>
      </c>
      <c r="P199" s="4"/>
      <c r="Q199" s="4" t="s">
        <v>397</v>
      </c>
      <c r="R199" s="4" t="s">
        <v>384</v>
      </c>
    </row>
    <row r="200" spans="2:18" s="2" customFormat="1" ht="18" customHeight="1" x14ac:dyDescent="0.2">
      <c r="B200" s="8">
        <f t="shared" si="15"/>
        <v>183</v>
      </c>
      <c r="C200" s="4" t="s">
        <v>22</v>
      </c>
      <c r="D200" s="4">
        <v>7700425</v>
      </c>
      <c r="E200" s="20" t="str">
        <f t="shared" si="14"/>
        <v>7700425</v>
      </c>
      <c r="F200" s="4" t="s">
        <v>11</v>
      </c>
      <c r="G200" s="4" t="s">
        <v>32</v>
      </c>
      <c r="H200" s="4" t="s">
        <v>413</v>
      </c>
      <c r="I200" s="4"/>
      <c r="J200" s="4" t="s">
        <v>224</v>
      </c>
      <c r="K200" s="4" t="s">
        <v>14</v>
      </c>
      <c r="L200" s="4"/>
      <c r="M200" s="4" t="s">
        <v>225</v>
      </c>
      <c r="N200" s="4">
        <v>4.5</v>
      </c>
      <c r="O200" s="4" t="s">
        <v>15</v>
      </c>
      <c r="P200" s="4"/>
      <c r="Q200" s="4" t="s">
        <v>397</v>
      </c>
      <c r="R200" s="4" t="s">
        <v>384</v>
      </c>
    </row>
    <row r="201" spans="2:18" s="2" customFormat="1" ht="18" customHeight="1" x14ac:dyDescent="0.2">
      <c r="B201" s="8">
        <f t="shared" si="15"/>
        <v>184</v>
      </c>
      <c r="C201" s="4" t="s">
        <v>22</v>
      </c>
      <c r="D201" s="4">
        <v>7700426</v>
      </c>
      <c r="E201" s="20" t="str">
        <f t="shared" si="14"/>
        <v>7700426</v>
      </c>
      <c r="F201" s="4" t="s">
        <v>11</v>
      </c>
      <c r="G201" s="4" t="s">
        <v>226</v>
      </c>
      <c r="H201" s="4" t="s">
        <v>461</v>
      </c>
      <c r="I201" s="4"/>
      <c r="J201" s="4" t="s">
        <v>227</v>
      </c>
      <c r="K201" s="4" t="s">
        <v>14</v>
      </c>
      <c r="L201" s="4"/>
      <c r="M201" s="4" t="s">
        <v>228</v>
      </c>
      <c r="N201" s="4">
        <v>5.9</v>
      </c>
      <c r="O201" s="4" t="s">
        <v>15</v>
      </c>
      <c r="P201" s="4"/>
      <c r="Q201" s="4" t="s">
        <v>397</v>
      </c>
      <c r="R201" s="4" t="s">
        <v>384</v>
      </c>
    </row>
    <row r="202" spans="2:18" s="2" customFormat="1" ht="18" customHeight="1" x14ac:dyDescent="0.2">
      <c r="B202" s="13">
        <f t="shared" si="15"/>
        <v>185</v>
      </c>
      <c r="C202" s="3" t="s">
        <v>16</v>
      </c>
      <c r="D202" s="3">
        <v>170040410</v>
      </c>
      <c r="E202" s="20" t="str">
        <f t="shared" si="14"/>
        <v>170040410</v>
      </c>
      <c r="F202" s="3" t="s">
        <v>11</v>
      </c>
      <c r="G202" s="3" t="s">
        <v>60</v>
      </c>
      <c r="H202" s="20" t="s">
        <v>422</v>
      </c>
      <c r="I202" s="20"/>
      <c r="J202" s="3" t="s">
        <v>84</v>
      </c>
      <c r="K202" s="3" t="s">
        <v>14</v>
      </c>
      <c r="L202" s="3"/>
      <c r="M202" s="3" t="s">
        <v>21</v>
      </c>
      <c r="N202" s="3">
        <v>1</v>
      </c>
      <c r="O202" s="3" t="s">
        <v>15</v>
      </c>
      <c r="P202" s="3"/>
      <c r="Q202" s="3" t="s">
        <v>394</v>
      </c>
      <c r="R202" s="3" t="s">
        <v>344</v>
      </c>
    </row>
    <row r="203" spans="2:18" s="2" customFormat="1" ht="18" customHeight="1" x14ac:dyDescent="0.2">
      <c r="B203" s="13">
        <f t="shared" si="15"/>
        <v>186</v>
      </c>
      <c r="C203" s="3" t="s">
        <v>16</v>
      </c>
      <c r="D203" s="3">
        <v>170040420</v>
      </c>
      <c r="E203" s="20" t="str">
        <f t="shared" si="14"/>
        <v>170040420</v>
      </c>
      <c r="F203" s="3" t="s">
        <v>11</v>
      </c>
      <c r="G203" s="3" t="s">
        <v>229</v>
      </c>
      <c r="H203" s="20" t="s">
        <v>425</v>
      </c>
      <c r="I203" s="20"/>
      <c r="J203" s="3" t="s">
        <v>230</v>
      </c>
      <c r="K203" s="3" t="s">
        <v>14</v>
      </c>
      <c r="L203" s="3"/>
      <c r="M203" s="3" t="s">
        <v>21</v>
      </c>
      <c r="N203" s="3">
        <v>1</v>
      </c>
      <c r="O203" s="3" t="s">
        <v>15</v>
      </c>
      <c r="P203" s="3"/>
      <c r="Q203" s="3" t="s">
        <v>362</v>
      </c>
      <c r="R203" s="3" t="s">
        <v>344</v>
      </c>
    </row>
    <row r="204" spans="2:18" s="2" customFormat="1" ht="18" customHeight="1" x14ac:dyDescent="0.2">
      <c r="B204" s="13">
        <f t="shared" si="15"/>
        <v>187</v>
      </c>
      <c r="C204" s="3" t="s">
        <v>16</v>
      </c>
      <c r="D204" s="3">
        <v>170040430</v>
      </c>
      <c r="E204" s="20" t="str">
        <f t="shared" si="14"/>
        <v>170040430</v>
      </c>
      <c r="F204" s="3" t="s">
        <v>11</v>
      </c>
      <c r="G204" s="3" t="s">
        <v>98</v>
      </c>
      <c r="H204" s="20" t="s">
        <v>462</v>
      </c>
      <c r="I204" s="20"/>
      <c r="J204" s="3" t="s">
        <v>230</v>
      </c>
      <c r="K204" s="3" t="s">
        <v>14</v>
      </c>
      <c r="L204" s="3"/>
      <c r="M204" s="3" t="s">
        <v>21</v>
      </c>
      <c r="N204" s="3">
        <v>1</v>
      </c>
      <c r="O204" s="3" t="s">
        <v>15</v>
      </c>
      <c r="P204" s="3"/>
      <c r="Q204" s="3" t="s">
        <v>394</v>
      </c>
      <c r="R204" s="3" t="s">
        <v>344</v>
      </c>
    </row>
    <row r="205" spans="2:18" s="2" customFormat="1" ht="18" customHeight="1" x14ac:dyDescent="0.2">
      <c r="B205" s="13">
        <f t="shared" si="15"/>
        <v>188</v>
      </c>
      <c r="C205" s="3" t="s">
        <v>16</v>
      </c>
      <c r="D205" s="3">
        <v>170040440</v>
      </c>
      <c r="E205" s="20" t="str">
        <f t="shared" si="14"/>
        <v>170040440</v>
      </c>
      <c r="F205" s="3" t="s">
        <v>11</v>
      </c>
      <c r="G205" s="3" t="s">
        <v>29</v>
      </c>
      <c r="H205" s="20" t="s">
        <v>412</v>
      </c>
      <c r="I205" s="20"/>
      <c r="J205" s="3" t="s">
        <v>84</v>
      </c>
      <c r="K205" s="3" t="s">
        <v>14</v>
      </c>
      <c r="L205" s="3"/>
      <c r="M205" s="3" t="s">
        <v>21</v>
      </c>
      <c r="N205" s="3">
        <v>1</v>
      </c>
      <c r="O205" s="3" t="s">
        <v>15</v>
      </c>
      <c r="P205" s="3"/>
      <c r="Q205" s="3" t="s">
        <v>394</v>
      </c>
      <c r="R205" s="3" t="s">
        <v>344</v>
      </c>
    </row>
    <row r="206" spans="2:18" s="2" customFormat="1" ht="18" customHeight="1" x14ac:dyDescent="0.2">
      <c r="B206" s="13">
        <f t="shared" si="15"/>
        <v>189</v>
      </c>
      <c r="C206" s="3" t="s">
        <v>16</v>
      </c>
      <c r="D206" s="3">
        <v>170040450</v>
      </c>
      <c r="E206" s="20" t="str">
        <f t="shared" ref="E206:E237" si="16">TRIM(D206)</f>
        <v>170040450</v>
      </c>
      <c r="F206" s="3" t="s">
        <v>11</v>
      </c>
      <c r="G206" s="3" t="s">
        <v>60</v>
      </c>
      <c r="H206" s="20" t="s">
        <v>422</v>
      </c>
      <c r="I206" s="20"/>
      <c r="J206" s="3" t="s">
        <v>84</v>
      </c>
      <c r="K206" s="3" t="s">
        <v>14</v>
      </c>
      <c r="L206" s="3"/>
      <c r="M206" s="3" t="s">
        <v>21</v>
      </c>
      <c r="N206" s="3">
        <v>1</v>
      </c>
      <c r="O206" s="3" t="s">
        <v>15</v>
      </c>
      <c r="P206" s="3"/>
      <c r="Q206" s="3" t="s">
        <v>394</v>
      </c>
      <c r="R206" s="3" t="s">
        <v>344</v>
      </c>
    </row>
    <row r="207" spans="2:18" s="2" customFormat="1" ht="18" customHeight="1" x14ac:dyDescent="0.2">
      <c r="B207" s="13">
        <f t="shared" si="15"/>
        <v>190</v>
      </c>
      <c r="C207" s="3" t="s">
        <v>16</v>
      </c>
      <c r="D207" s="3">
        <v>170040470</v>
      </c>
      <c r="E207" s="20" t="str">
        <f t="shared" si="16"/>
        <v>170040470</v>
      </c>
      <c r="F207" s="3" t="s">
        <v>11</v>
      </c>
      <c r="G207" s="3" t="s">
        <v>29</v>
      </c>
      <c r="H207" s="20" t="s">
        <v>412</v>
      </c>
      <c r="I207" s="20"/>
      <c r="J207" s="3" t="s">
        <v>84</v>
      </c>
      <c r="K207" s="3" t="s">
        <v>14</v>
      </c>
      <c r="L207" s="3"/>
      <c r="M207" s="3" t="s">
        <v>21</v>
      </c>
      <c r="N207" s="3">
        <v>1</v>
      </c>
      <c r="O207" s="3" t="s">
        <v>15</v>
      </c>
      <c r="P207" s="3"/>
      <c r="Q207" s="3" t="s">
        <v>394</v>
      </c>
      <c r="R207" s="3" t="s">
        <v>344</v>
      </c>
    </row>
    <row r="208" spans="2:18" s="2" customFormat="1" ht="18" customHeight="1" x14ac:dyDescent="0.2">
      <c r="B208" s="13">
        <f t="shared" si="15"/>
        <v>191</v>
      </c>
      <c r="C208" s="3" t="s">
        <v>16</v>
      </c>
      <c r="D208" s="3">
        <v>170040480</v>
      </c>
      <c r="E208" s="20" t="str">
        <f t="shared" si="16"/>
        <v>170040480</v>
      </c>
      <c r="F208" s="3" t="s">
        <v>11</v>
      </c>
      <c r="G208" s="3" t="s">
        <v>60</v>
      </c>
      <c r="H208" s="20" t="s">
        <v>422</v>
      </c>
      <c r="I208" s="20"/>
      <c r="J208" s="3" t="s">
        <v>84</v>
      </c>
      <c r="K208" s="3" t="s">
        <v>14</v>
      </c>
      <c r="L208" s="3"/>
      <c r="M208" s="3" t="s">
        <v>18</v>
      </c>
      <c r="N208" s="3">
        <v>2</v>
      </c>
      <c r="O208" s="3" t="s">
        <v>15</v>
      </c>
      <c r="P208" s="3"/>
      <c r="Q208" s="3" t="s">
        <v>394</v>
      </c>
      <c r="R208" s="3" t="s">
        <v>344</v>
      </c>
    </row>
    <row r="209" spans="2:18" s="2" customFormat="1" ht="18" customHeight="1" x14ac:dyDescent="0.2">
      <c r="B209" s="13">
        <f t="shared" si="15"/>
        <v>192</v>
      </c>
      <c r="C209" s="3" t="s">
        <v>16</v>
      </c>
      <c r="D209" s="3">
        <v>170040490</v>
      </c>
      <c r="E209" s="20" t="str">
        <f t="shared" si="16"/>
        <v>170040490</v>
      </c>
      <c r="F209" s="3" t="s">
        <v>11</v>
      </c>
      <c r="G209" s="3" t="s">
        <v>60</v>
      </c>
      <c r="H209" s="20" t="s">
        <v>422</v>
      </c>
      <c r="I209" s="20"/>
      <c r="J209" s="3" t="s">
        <v>84</v>
      </c>
      <c r="K209" s="3" t="s">
        <v>14</v>
      </c>
      <c r="L209" s="3"/>
      <c r="M209" s="3" t="s">
        <v>18</v>
      </c>
      <c r="N209" s="3">
        <v>2</v>
      </c>
      <c r="O209" s="3" t="s">
        <v>15</v>
      </c>
      <c r="P209" s="3"/>
      <c r="Q209" s="3" t="s">
        <v>394</v>
      </c>
      <c r="R209" s="3" t="s">
        <v>344</v>
      </c>
    </row>
    <row r="210" spans="2:18" s="2" customFormat="1" ht="18" customHeight="1" x14ac:dyDescent="0.2">
      <c r="B210" s="13">
        <f t="shared" si="15"/>
        <v>193</v>
      </c>
      <c r="C210" s="3" t="s">
        <v>16</v>
      </c>
      <c r="D210" s="3">
        <v>170040500</v>
      </c>
      <c r="E210" s="20" t="str">
        <f t="shared" si="16"/>
        <v>170040500</v>
      </c>
      <c r="F210" s="3" t="s">
        <v>11</v>
      </c>
      <c r="G210" s="3" t="s">
        <v>60</v>
      </c>
      <c r="H210" s="20" t="s">
        <v>422</v>
      </c>
      <c r="I210" s="20"/>
      <c r="J210" s="3" t="s">
        <v>84</v>
      </c>
      <c r="K210" s="3" t="s">
        <v>14</v>
      </c>
      <c r="L210" s="3"/>
      <c r="M210" s="3" t="s">
        <v>18</v>
      </c>
      <c r="N210" s="3">
        <v>2</v>
      </c>
      <c r="O210" s="3" t="s">
        <v>15</v>
      </c>
      <c r="P210" s="3"/>
      <c r="Q210" s="3" t="s">
        <v>394</v>
      </c>
      <c r="R210" s="3" t="s">
        <v>344</v>
      </c>
    </row>
    <row r="211" spans="2:18" s="2" customFormat="1" ht="18" customHeight="1" x14ac:dyDescent="0.2">
      <c r="B211" s="13">
        <f t="shared" si="15"/>
        <v>194</v>
      </c>
      <c r="C211" s="3" t="s">
        <v>16</v>
      </c>
      <c r="D211" s="3">
        <v>170088640</v>
      </c>
      <c r="E211" s="20" t="str">
        <f t="shared" si="16"/>
        <v>170088640</v>
      </c>
      <c r="F211" s="3" t="s">
        <v>11</v>
      </c>
      <c r="G211" s="3" t="s">
        <v>23</v>
      </c>
      <c r="H211" s="20" t="s">
        <v>410</v>
      </c>
      <c r="I211" s="20"/>
      <c r="J211" s="3" t="s">
        <v>231</v>
      </c>
      <c r="K211" s="3" t="s">
        <v>14</v>
      </c>
      <c r="L211" s="3"/>
      <c r="M211" s="3" t="s">
        <v>21</v>
      </c>
      <c r="N211" s="3">
        <v>1</v>
      </c>
      <c r="O211" s="3" t="s">
        <v>15</v>
      </c>
      <c r="P211" s="3"/>
      <c r="Q211" s="3" t="s">
        <v>394</v>
      </c>
      <c r="R211" s="3" t="s">
        <v>344</v>
      </c>
    </row>
    <row r="212" spans="2:18" s="2" customFormat="1" ht="18" customHeight="1" x14ac:dyDescent="0.2">
      <c r="B212" s="19">
        <f t="shared" si="15"/>
        <v>195</v>
      </c>
      <c r="C212" s="18" t="s">
        <v>16</v>
      </c>
      <c r="D212" s="18">
        <v>170088650</v>
      </c>
      <c r="E212" s="18" t="str">
        <f t="shared" si="16"/>
        <v>170088650</v>
      </c>
      <c r="F212" s="18" t="s">
        <v>11</v>
      </c>
      <c r="G212" s="18" t="s">
        <v>232</v>
      </c>
      <c r="H212" s="18" t="s">
        <v>445</v>
      </c>
      <c r="I212" s="18" t="s">
        <v>529</v>
      </c>
      <c r="J212" s="18" t="s">
        <v>233</v>
      </c>
      <c r="K212" s="18" t="s">
        <v>14</v>
      </c>
      <c r="L212" s="18"/>
      <c r="M212" s="18" t="s">
        <v>21</v>
      </c>
      <c r="N212" s="18">
        <v>1</v>
      </c>
      <c r="O212" s="18" t="s">
        <v>38</v>
      </c>
      <c r="P212" s="18"/>
      <c r="Q212" s="18" t="s">
        <v>394</v>
      </c>
      <c r="R212" s="18" t="s">
        <v>344</v>
      </c>
    </row>
    <row r="213" spans="2:18" s="2" customFormat="1" ht="18" customHeight="1" x14ac:dyDescent="0.2">
      <c r="B213" s="13">
        <f t="shared" ref="B213:B244" si="17">B212+1</f>
        <v>196</v>
      </c>
      <c r="C213" s="3" t="s">
        <v>16</v>
      </c>
      <c r="D213" s="3">
        <v>170088660</v>
      </c>
      <c r="E213" s="20" t="str">
        <f t="shared" si="16"/>
        <v>170088660</v>
      </c>
      <c r="F213" s="3" t="s">
        <v>11</v>
      </c>
      <c r="G213" s="3" t="s">
        <v>234</v>
      </c>
      <c r="H213" s="20" t="s">
        <v>463</v>
      </c>
      <c r="I213" s="20"/>
      <c r="J213" s="3" t="s">
        <v>235</v>
      </c>
      <c r="K213" s="3" t="s">
        <v>14</v>
      </c>
      <c r="L213" s="3"/>
      <c r="M213" s="3" t="s">
        <v>21</v>
      </c>
      <c r="N213" s="3">
        <v>1</v>
      </c>
      <c r="O213" s="3" t="s">
        <v>15</v>
      </c>
      <c r="P213" s="3"/>
      <c r="Q213" s="3" t="s">
        <v>394</v>
      </c>
      <c r="R213" s="3" t="s">
        <v>344</v>
      </c>
    </row>
    <row r="214" spans="2:18" s="2" customFormat="1" ht="18" customHeight="1" x14ac:dyDescent="0.2">
      <c r="B214" s="13">
        <f t="shared" si="17"/>
        <v>197</v>
      </c>
      <c r="C214" s="3" t="s">
        <v>16</v>
      </c>
      <c r="D214" s="3">
        <v>170116040</v>
      </c>
      <c r="E214" s="20" t="str">
        <f t="shared" si="16"/>
        <v>170116040</v>
      </c>
      <c r="F214" s="3" t="s">
        <v>11</v>
      </c>
      <c r="G214" s="3" t="s">
        <v>23</v>
      </c>
      <c r="H214" s="20" t="s">
        <v>410</v>
      </c>
      <c r="I214" s="20"/>
      <c r="J214" s="3" t="s">
        <v>236</v>
      </c>
      <c r="K214" s="3" t="s">
        <v>14</v>
      </c>
      <c r="L214" s="3"/>
      <c r="M214" s="3" t="s">
        <v>18</v>
      </c>
      <c r="N214" s="3">
        <v>2</v>
      </c>
      <c r="O214" s="3" t="s">
        <v>15</v>
      </c>
      <c r="P214" s="3"/>
      <c r="Q214" s="3" t="s">
        <v>394</v>
      </c>
      <c r="R214" s="3" t="s">
        <v>360</v>
      </c>
    </row>
    <row r="215" spans="2:18" s="2" customFormat="1" ht="18" customHeight="1" x14ac:dyDescent="0.2">
      <c r="B215" s="13">
        <f t="shared" si="17"/>
        <v>198</v>
      </c>
      <c r="C215" s="3" t="s">
        <v>16</v>
      </c>
      <c r="D215" s="3">
        <v>170152477</v>
      </c>
      <c r="E215" s="20" t="str">
        <f t="shared" si="16"/>
        <v>170152477</v>
      </c>
      <c r="F215" s="3" t="s">
        <v>11</v>
      </c>
      <c r="G215" s="3" t="s">
        <v>237</v>
      </c>
      <c r="H215" s="20" t="s">
        <v>464</v>
      </c>
      <c r="I215" s="20"/>
      <c r="J215" s="3" t="s">
        <v>238</v>
      </c>
      <c r="K215" s="3" t="s">
        <v>14</v>
      </c>
      <c r="L215" s="3"/>
      <c r="M215" s="3" t="s">
        <v>21</v>
      </c>
      <c r="N215" s="3">
        <v>1</v>
      </c>
      <c r="O215" s="3" t="s">
        <v>38</v>
      </c>
      <c r="P215" s="3"/>
      <c r="Q215" s="3" t="s">
        <v>394</v>
      </c>
      <c r="R215" s="3" t="s">
        <v>344</v>
      </c>
    </row>
    <row r="216" spans="2:18" s="2" customFormat="1" ht="18" customHeight="1" x14ac:dyDescent="0.2">
      <c r="B216" s="13">
        <f t="shared" si="17"/>
        <v>199</v>
      </c>
      <c r="C216" s="3" t="s">
        <v>16</v>
      </c>
      <c r="D216" s="3">
        <v>170155415</v>
      </c>
      <c r="E216" s="20" t="str">
        <f t="shared" si="16"/>
        <v>170155415</v>
      </c>
      <c r="F216" s="3" t="s">
        <v>11</v>
      </c>
      <c r="G216" s="3" t="s">
        <v>23</v>
      </c>
      <c r="H216" s="20" t="s">
        <v>410</v>
      </c>
      <c r="I216" s="20"/>
      <c r="J216" s="3" t="s">
        <v>239</v>
      </c>
      <c r="K216" s="3" t="s">
        <v>14</v>
      </c>
      <c r="L216" s="3"/>
      <c r="M216" s="3" t="s">
        <v>200</v>
      </c>
      <c r="N216" s="3">
        <v>6</v>
      </c>
      <c r="O216" s="3" t="s">
        <v>15</v>
      </c>
      <c r="P216" s="3"/>
      <c r="Q216" s="3" t="s">
        <v>394</v>
      </c>
      <c r="R216" s="3" t="s">
        <v>344</v>
      </c>
    </row>
    <row r="217" spans="2:18" s="2" customFormat="1" ht="18" customHeight="1" x14ac:dyDescent="0.2">
      <c r="B217" s="13">
        <f t="shared" si="17"/>
        <v>200</v>
      </c>
      <c r="C217" s="3" t="s">
        <v>16</v>
      </c>
      <c r="D217" s="3">
        <v>170159378</v>
      </c>
      <c r="E217" s="20" t="str">
        <f t="shared" si="16"/>
        <v>170159378</v>
      </c>
      <c r="F217" s="3" t="s">
        <v>11</v>
      </c>
      <c r="G217" s="3" t="s">
        <v>23</v>
      </c>
      <c r="H217" s="20" t="s">
        <v>410</v>
      </c>
      <c r="I217" s="20"/>
      <c r="J217" s="3" t="s">
        <v>240</v>
      </c>
      <c r="K217" s="3" t="s">
        <v>14</v>
      </c>
      <c r="L217" s="3"/>
      <c r="M217" s="3" t="s">
        <v>21</v>
      </c>
      <c r="N217" s="3">
        <v>1</v>
      </c>
      <c r="O217" s="3" t="s">
        <v>15</v>
      </c>
      <c r="P217" s="3"/>
      <c r="Q217" s="3" t="s">
        <v>394</v>
      </c>
      <c r="R217" s="3" t="s">
        <v>344</v>
      </c>
    </row>
    <row r="218" spans="2:18" s="2" customFormat="1" ht="18" customHeight="1" x14ac:dyDescent="0.2">
      <c r="B218" s="13">
        <f t="shared" si="17"/>
        <v>201</v>
      </c>
      <c r="C218" s="3" t="s">
        <v>16</v>
      </c>
      <c r="D218" s="3">
        <v>170168368</v>
      </c>
      <c r="E218" s="20" t="str">
        <f t="shared" si="16"/>
        <v>170168368</v>
      </c>
      <c r="F218" s="3" t="s">
        <v>11</v>
      </c>
      <c r="G218" s="3" t="s">
        <v>23</v>
      </c>
      <c r="H218" s="20" t="s">
        <v>410</v>
      </c>
      <c r="I218" s="20"/>
      <c r="J218" s="3" t="s">
        <v>241</v>
      </c>
      <c r="K218" s="3" t="s">
        <v>14</v>
      </c>
      <c r="L218" s="3"/>
      <c r="M218" s="3" t="s">
        <v>21</v>
      </c>
      <c r="N218" s="3">
        <v>1</v>
      </c>
      <c r="O218" s="3" t="s">
        <v>15</v>
      </c>
      <c r="P218" s="3"/>
      <c r="Q218" s="3" t="s">
        <v>394</v>
      </c>
      <c r="R218" s="3" t="s">
        <v>344</v>
      </c>
    </row>
    <row r="219" spans="2:18" s="2" customFormat="1" ht="18" customHeight="1" x14ac:dyDescent="0.2">
      <c r="B219" s="13">
        <f t="shared" si="17"/>
        <v>202</v>
      </c>
      <c r="C219" s="3" t="s">
        <v>16</v>
      </c>
      <c r="D219" s="3">
        <v>170174646</v>
      </c>
      <c r="E219" s="20" t="str">
        <f t="shared" si="16"/>
        <v>170174646</v>
      </c>
      <c r="F219" s="3" t="s">
        <v>11</v>
      </c>
      <c r="G219" s="3" t="s">
        <v>23</v>
      </c>
      <c r="H219" s="20" t="s">
        <v>410</v>
      </c>
      <c r="I219" s="20"/>
      <c r="J219" s="3" t="s">
        <v>242</v>
      </c>
      <c r="K219" s="3" t="s">
        <v>14</v>
      </c>
      <c r="L219" s="3"/>
      <c r="M219" s="3" t="s">
        <v>21</v>
      </c>
      <c r="N219" s="3">
        <v>1</v>
      </c>
      <c r="O219" s="3" t="s">
        <v>15</v>
      </c>
      <c r="P219" s="3"/>
      <c r="Q219" s="3" t="s">
        <v>394</v>
      </c>
      <c r="R219" s="3" t="s">
        <v>344</v>
      </c>
    </row>
    <row r="220" spans="2:18" s="2" customFormat="1" ht="18" customHeight="1" x14ac:dyDescent="0.2">
      <c r="B220" s="13">
        <f t="shared" si="17"/>
        <v>203</v>
      </c>
      <c r="C220" s="3" t="s">
        <v>16</v>
      </c>
      <c r="D220" s="3">
        <v>170176252</v>
      </c>
      <c r="E220" s="20" t="str">
        <f t="shared" si="16"/>
        <v>170176252</v>
      </c>
      <c r="F220" s="3" t="s">
        <v>11</v>
      </c>
      <c r="G220" s="3" t="s">
        <v>243</v>
      </c>
      <c r="H220" s="20" t="s">
        <v>465</v>
      </c>
      <c r="I220" s="20"/>
      <c r="J220" s="3" t="s">
        <v>244</v>
      </c>
      <c r="K220" s="3" t="s">
        <v>14</v>
      </c>
      <c r="L220" s="3"/>
      <c r="M220" s="3" t="s">
        <v>21</v>
      </c>
      <c r="N220" s="3">
        <v>1</v>
      </c>
      <c r="O220" s="3" t="s">
        <v>15</v>
      </c>
      <c r="P220" s="3"/>
      <c r="Q220" s="3" t="s">
        <v>394</v>
      </c>
      <c r="R220" s="3" t="s">
        <v>360</v>
      </c>
    </row>
    <row r="221" spans="2:18" s="2" customFormat="1" ht="18" customHeight="1" x14ac:dyDescent="0.2">
      <c r="B221" s="15">
        <f t="shared" si="17"/>
        <v>204</v>
      </c>
      <c r="C221" s="11" t="s">
        <v>16</v>
      </c>
      <c r="D221" s="11">
        <v>190005705</v>
      </c>
      <c r="E221" s="20" t="str">
        <f t="shared" si="16"/>
        <v>190005705</v>
      </c>
      <c r="F221" s="11" t="s">
        <v>11</v>
      </c>
      <c r="G221" s="11" t="s">
        <v>245</v>
      </c>
      <c r="H221" s="11" t="s">
        <v>466</v>
      </c>
      <c r="I221" s="11"/>
      <c r="J221" s="11" t="s">
        <v>246</v>
      </c>
      <c r="K221" s="11" t="s">
        <v>14</v>
      </c>
      <c r="L221" s="11"/>
      <c r="M221" s="11" t="s">
        <v>21</v>
      </c>
      <c r="N221" s="11">
        <v>1</v>
      </c>
      <c r="O221" s="11" t="s">
        <v>15</v>
      </c>
      <c r="P221" s="11"/>
      <c r="Q221" s="11" t="s">
        <v>354</v>
      </c>
      <c r="R221" s="11" t="s">
        <v>354</v>
      </c>
    </row>
    <row r="222" spans="2:18" s="2" customFormat="1" ht="18" customHeight="1" x14ac:dyDescent="0.2">
      <c r="B222" s="13">
        <f t="shared" si="17"/>
        <v>205</v>
      </c>
      <c r="C222" s="3" t="s">
        <v>22</v>
      </c>
      <c r="D222" s="3">
        <v>340001808</v>
      </c>
      <c r="E222" s="20" t="str">
        <f t="shared" si="16"/>
        <v>340001808</v>
      </c>
      <c r="F222" s="3" t="s">
        <v>11</v>
      </c>
      <c r="G222" s="3" t="s">
        <v>60</v>
      </c>
      <c r="H222" s="20" t="s">
        <v>422</v>
      </c>
      <c r="I222" s="20"/>
      <c r="J222" s="3" t="s">
        <v>247</v>
      </c>
      <c r="K222" s="3" t="s">
        <v>127</v>
      </c>
      <c r="L222" s="3"/>
      <c r="M222" s="3" t="s">
        <v>21</v>
      </c>
      <c r="N222" s="3">
        <v>1</v>
      </c>
      <c r="O222" s="3" t="s">
        <v>15</v>
      </c>
      <c r="P222" s="3"/>
      <c r="Q222" s="3" t="s">
        <v>395</v>
      </c>
      <c r="R222" s="3" t="s">
        <v>346</v>
      </c>
    </row>
    <row r="223" spans="2:18" s="2" customFormat="1" ht="18" customHeight="1" x14ac:dyDescent="0.2">
      <c r="B223" s="13">
        <f t="shared" si="17"/>
        <v>206</v>
      </c>
      <c r="C223" s="3" t="s">
        <v>22</v>
      </c>
      <c r="D223" s="3">
        <v>7500022</v>
      </c>
      <c r="E223" s="20" t="str">
        <f t="shared" si="16"/>
        <v>7500022</v>
      </c>
      <c r="F223" s="3" t="s">
        <v>11</v>
      </c>
      <c r="G223" s="3" t="s">
        <v>248</v>
      </c>
      <c r="H223" s="20" t="s">
        <v>467</v>
      </c>
      <c r="I223" s="20"/>
      <c r="J223" s="3" t="s">
        <v>249</v>
      </c>
      <c r="K223" s="3" t="s">
        <v>68</v>
      </c>
      <c r="L223" s="3"/>
      <c r="M223" s="3" t="s">
        <v>25</v>
      </c>
      <c r="N223" s="3">
        <v>0</v>
      </c>
      <c r="O223" s="3" t="s">
        <v>15</v>
      </c>
      <c r="P223" s="3"/>
      <c r="Q223" s="3" t="s">
        <v>395</v>
      </c>
      <c r="R223" s="3" t="s">
        <v>346</v>
      </c>
    </row>
    <row r="224" spans="2:18" s="2" customFormat="1" ht="18" customHeight="1" x14ac:dyDescent="0.2">
      <c r="B224" s="13">
        <f t="shared" si="17"/>
        <v>207</v>
      </c>
      <c r="C224" s="3" t="s">
        <v>22</v>
      </c>
      <c r="D224" s="3">
        <v>7500024</v>
      </c>
      <c r="E224" s="20" t="str">
        <f t="shared" si="16"/>
        <v>7500024</v>
      </c>
      <c r="F224" s="3" t="s">
        <v>11</v>
      </c>
      <c r="G224" s="3" t="s">
        <v>250</v>
      </c>
      <c r="H224" s="20" t="s">
        <v>468</v>
      </c>
      <c r="I224" s="20"/>
      <c r="J224" s="3" t="s">
        <v>251</v>
      </c>
      <c r="K224" s="3" t="s">
        <v>70</v>
      </c>
      <c r="L224" s="3"/>
      <c r="M224" s="3" t="s">
        <v>25</v>
      </c>
      <c r="N224" s="3">
        <v>0</v>
      </c>
      <c r="O224" s="3" t="s">
        <v>15</v>
      </c>
      <c r="P224" s="3"/>
      <c r="Q224" s="3" t="s">
        <v>395</v>
      </c>
      <c r="R224" s="3" t="s">
        <v>346</v>
      </c>
    </row>
    <row r="225" spans="2:18" s="2" customFormat="1" ht="18" customHeight="1" x14ac:dyDescent="0.2">
      <c r="B225" s="8">
        <f t="shared" si="17"/>
        <v>208</v>
      </c>
      <c r="C225" s="4" t="s">
        <v>22</v>
      </c>
      <c r="D225" s="4">
        <v>860005057</v>
      </c>
      <c r="E225" s="20" t="str">
        <f t="shared" si="16"/>
        <v>860005057</v>
      </c>
      <c r="F225" s="4" t="s">
        <v>11</v>
      </c>
      <c r="G225" s="4" t="s">
        <v>159</v>
      </c>
      <c r="H225" s="4" t="s">
        <v>447</v>
      </c>
      <c r="I225" s="4"/>
      <c r="J225" s="4" t="s">
        <v>252</v>
      </c>
      <c r="K225" s="4" t="s">
        <v>83</v>
      </c>
      <c r="L225" s="4"/>
      <c r="M225" s="4" t="s">
        <v>25</v>
      </c>
      <c r="N225" s="4">
        <v>0</v>
      </c>
      <c r="O225" s="4" t="s">
        <v>15</v>
      </c>
      <c r="P225" s="4"/>
      <c r="Q225" s="4" t="s">
        <v>352</v>
      </c>
      <c r="R225" s="4" t="s">
        <v>352</v>
      </c>
    </row>
    <row r="226" spans="2:18" s="2" customFormat="1" ht="18" customHeight="1" x14ac:dyDescent="0.2">
      <c r="B226" s="8">
        <f t="shared" si="17"/>
        <v>209</v>
      </c>
      <c r="C226" s="4" t="s">
        <v>22</v>
      </c>
      <c r="D226" s="4">
        <v>8600780</v>
      </c>
      <c r="E226" s="20" t="str">
        <f t="shared" si="16"/>
        <v>8600780</v>
      </c>
      <c r="F226" s="4" t="s">
        <v>11</v>
      </c>
      <c r="G226" s="4" t="s">
        <v>155</v>
      </c>
      <c r="H226" s="4" t="s">
        <v>446</v>
      </c>
      <c r="I226" s="4"/>
      <c r="J226" s="4" t="s">
        <v>156</v>
      </c>
      <c r="K226" s="4" t="s">
        <v>106</v>
      </c>
      <c r="L226" s="4"/>
      <c r="M226" s="4" t="s">
        <v>25</v>
      </c>
      <c r="N226" s="4">
        <v>0</v>
      </c>
      <c r="O226" s="4" t="s">
        <v>38</v>
      </c>
      <c r="P226" s="4"/>
      <c r="Q226" s="4" t="s">
        <v>352</v>
      </c>
      <c r="R226" s="4" t="s">
        <v>352</v>
      </c>
    </row>
    <row r="227" spans="2:18" s="2" customFormat="1" ht="18" customHeight="1" x14ac:dyDescent="0.2">
      <c r="B227" s="8">
        <f t="shared" si="17"/>
        <v>210</v>
      </c>
      <c r="C227" s="4" t="s">
        <v>22</v>
      </c>
      <c r="D227" s="4">
        <v>8800222</v>
      </c>
      <c r="E227" s="20" t="str">
        <f t="shared" si="16"/>
        <v>8800222</v>
      </c>
      <c r="F227" s="4" t="s">
        <v>11</v>
      </c>
      <c r="G227" s="4" t="s">
        <v>176</v>
      </c>
      <c r="H227" s="4" t="s">
        <v>452</v>
      </c>
      <c r="I227" s="4"/>
      <c r="J227" s="4" t="s">
        <v>177</v>
      </c>
      <c r="K227" s="4" t="s">
        <v>76</v>
      </c>
      <c r="L227" s="4"/>
      <c r="M227" s="4" t="s">
        <v>25</v>
      </c>
      <c r="N227" s="4">
        <v>0</v>
      </c>
      <c r="O227" s="4" t="s">
        <v>38</v>
      </c>
      <c r="P227" s="4"/>
      <c r="Q227" s="4" t="s">
        <v>352</v>
      </c>
      <c r="R227" s="4" t="s">
        <v>352</v>
      </c>
    </row>
    <row r="228" spans="2:18" s="2" customFormat="1" ht="18" customHeight="1" x14ac:dyDescent="0.2">
      <c r="B228" s="13">
        <f t="shared" si="17"/>
        <v>211</v>
      </c>
      <c r="C228" s="3" t="s">
        <v>22</v>
      </c>
      <c r="D228" s="3">
        <v>900000755</v>
      </c>
      <c r="E228" s="20" t="str">
        <f t="shared" si="16"/>
        <v>900000755</v>
      </c>
      <c r="F228" s="3" t="s">
        <v>11</v>
      </c>
      <c r="G228" s="3" t="s">
        <v>253</v>
      </c>
      <c r="H228" s="20" t="s">
        <v>469</v>
      </c>
      <c r="I228" s="20"/>
      <c r="J228" s="3" t="s">
        <v>254</v>
      </c>
      <c r="K228" s="3" t="s">
        <v>77</v>
      </c>
      <c r="L228" s="3"/>
      <c r="M228" s="3" t="s">
        <v>18</v>
      </c>
      <c r="N228" s="3">
        <v>2</v>
      </c>
      <c r="O228" s="3" t="s">
        <v>15</v>
      </c>
      <c r="P228" s="3"/>
      <c r="Q228" s="3" t="s">
        <v>395</v>
      </c>
      <c r="R228" s="3" t="s">
        <v>346</v>
      </c>
    </row>
    <row r="229" spans="2:18" s="2" customFormat="1" ht="18" customHeight="1" x14ac:dyDescent="0.2">
      <c r="B229" s="13">
        <f t="shared" si="17"/>
        <v>212</v>
      </c>
      <c r="C229" s="3" t="s">
        <v>22</v>
      </c>
      <c r="D229" s="3">
        <v>900001259</v>
      </c>
      <c r="E229" s="20" t="str">
        <f t="shared" si="16"/>
        <v>900001259</v>
      </c>
      <c r="F229" s="3" t="s">
        <v>11</v>
      </c>
      <c r="G229" s="3" t="s">
        <v>255</v>
      </c>
      <c r="H229" s="20" t="s">
        <v>470</v>
      </c>
      <c r="I229" s="20"/>
      <c r="J229" s="3" t="s">
        <v>256</v>
      </c>
      <c r="K229" s="3" t="s">
        <v>96</v>
      </c>
      <c r="L229" s="3"/>
      <c r="M229" s="3" t="s">
        <v>257</v>
      </c>
      <c r="N229" s="3">
        <v>10</v>
      </c>
      <c r="O229" s="3" t="s">
        <v>15</v>
      </c>
      <c r="P229" s="3"/>
      <c r="Q229" s="3" t="s">
        <v>395</v>
      </c>
      <c r="R229" s="3" t="s">
        <v>346</v>
      </c>
    </row>
    <row r="230" spans="2:18" s="2" customFormat="1" ht="18" customHeight="1" x14ac:dyDescent="0.2">
      <c r="B230" s="15">
        <f t="shared" si="17"/>
        <v>213</v>
      </c>
      <c r="C230" s="11" t="s">
        <v>16</v>
      </c>
      <c r="D230" s="11">
        <v>190005706</v>
      </c>
      <c r="E230" s="20" t="str">
        <f t="shared" si="16"/>
        <v>190005706</v>
      </c>
      <c r="F230" s="11" t="s">
        <v>11</v>
      </c>
      <c r="G230" s="11" t="s">
        <v>245</v>
      </c>
      <c r="H230" s="11" t="s">
        <v>466</v>
      </c>
      <c r="I230" s="11"/>
      <c r="J230" s="11" t="s">
        <v>258</v>
      </c>
      <c r="K230" s="11" t="s">
        <v>14</v>
      </c>
      <c r="L230" s="11"/>
      <c r="M230" s="11" t="s">
        <v>21</v>
      </c>
      <c r="N230" s="11">
        <v>1</v>
      </c>
      <c r="O230" s="11" t="s">
        <v>15</v>
      </c>
      <c r="P230" s="11"/>
      <c r="Q230" s="11" t="s">
        <v>354</v>
      </c>
      <c r="R230" s="11" t="s">
        <v>354</v>
      </c>
    </row>
    <row r="231" spans="2:18" s="2" customFormat="1" ht="18" customHeight="1" x14ac:dyDescent="0.2">
      <c r="B231" s="13">
        <f t="shared" si="17"/>
        <v>214</v>
      </c>
      <c r="C231" s="3" t="s">
        <v>22</v>
      </c>
      <c r="D231" s="3">
        <v>340001808</v>
      </c>
      <c r="E231" s="20" t="str">
        <f t="shared" si="16"/>
        <v>340001808</v>
      </c>
      <c r="F231" s="3" t="s">
        <v>11</v>
      </c>
      <c r="G231" s="3" t="s">
        <v>60</v>
      </c>
      <c r="H231" s="20" t="s">
        <v>422</v>
      </c>
      <c r="I231" s="20"/>
      <c r="J231" s="3" t="s">
        <v>247</v>
      </c>
      <c r="K231" s="3" t="s">
        <v>127</v>
      </c>
      <c r="L231" s="3"/>
      <c r="M231" s="3" t="s">
        <v>21</v>
      </c>
      <c r="N231" s="3">
        <v>1</v>
      </c>
      <c r="O231" s="3" t="s">
        <v>15</v>
      </c>
      <c r="P231" s="3"/>
      <c r="Q231" s="3" t="s">
        <v>395</v>
      </c>
      <c r="R231" s="3" t="s">
        <v>346</v>
      </c>
    </row>
    <row r="232" spans="2:18" s="2" customFormat="1" ht="18" customHeight="1" x14ac:dyDescent="0.2">
      <c r="B232" s="13">
        <f t="shared" si="17"/>
        <v>215</v>
      </c>
      <c r="C232" s="3" t="s">
        <v>22</v>
      </c>
      <c r="D232" s="3">
        <v>3402935</v>
      </c>
      <c r="E232" s="20" t="str">
        <f t="shared" si="16"/>
        <v>3402935</v>
      </c>
      <c r="F232" s="3" t="s">
        <v>11</v>
      </c>
      <c r="G232" s="3" t="s">
        <v>23</v>
      </c>
      <c r="H232" s="20" t="s">
        <v>410</v>
      </c>
      <c r="I232" s="20"/>
      <c r="J232" s="3" t="s">
        <v>259</v>
      </c>
      <c r="K232" s="3" t="s">
        <v>260</v>
      </c>
      <c r="L232" s="3"/>
      <c r="M232" s="3" t="s">
        <v>74</v>
      </c>
      <c r="N232" s="3">
        <v>3</v>
      </c>
      <c r="O232" s="3" t="s">
        <v>15</v>
      </c>
      <c r="P232" s="3"/>
      <c r="Q232" s="3" t="s">
        <v>395</v>
      </c>
      <c r="R232" s="3" t="s">
        <v>346</v>
      </c>
    </row>
    <row r="233" spans="2:18" s="2" customFormat="1" ht="18" customHeight="1" x14ac:dyDescent="0.2">
      <c r="B233" s="13">
        <f t="shared" si="17"/>
        <v>216</v>
      </c>
      <c r="C233" s="3" t="s">
        <v>22</v>
      </c>
      <c r="D233" s="3">
        <v>7500022</v>
      </c>
      <c r="E233" s="20" t="str">
        <f t="shared" si="16"/>
        <v>7500022</v>
      </c>
      <c r="F233" s="3" t="s">
        <v>11</v>
      </c>
      <c r="G233" s="3" t="s">
        <v>248</v>
      </c>
      <c r="H233" s="20" t="s">
        <v>467</v>
      </c>
      <c r="I233" s="20"/>
      <c r="J233" s="3" t="s">
        <v>249</v>
      </c>
      <c r="K233" s="3" t="s">
        <v>70</v>
      </c>
      <c r="L233" s="3"/>
      <c r="M233" s="3" t="s">
        <v>25</v>
      </c>
      <c r="N233" s="3">
        <v>0</v>
      </c>
      <c r="O233" s="3" t="s">
        <v>15</v>
      </c>
      <c r="P233" s="3"/>
      <c r="Q233" s="3" t="s">
        <v>395</v>
      </c>
      <c r="R233" s="3" t="s">
        <v>346</v>
      </c>
    </row>
    <row r="234" spans="2:18" s="2" customFormat="1" ht="18" customHeight="1" x14ac:dyDescent="0.2">
      <c r="B234" s="13">
        <f t="shared" si="17"/>
        <v>217</v>
      </c>
      <c r="C234" s="3" t="s">
        <v>22</v>
      </c>
      <c r="D234" s="3">
        <v>7500024</v>
      </c>
      <c r="E234" s="20" t="str">
        <f t="shared" si="16"/>
        <v>7500024</v>
      </c>
      <c r="F234" s="3" t="s">
        <v>11</v>
      </c>
      <c r="G234" s="3" t="s">
        <v>250</v>
      </c>
      <c r="H234" s="20" t="s">
        <v>468</v>
      </c>
      <c r="I234" s="20"/>
      <c r="J234" s="3" t="s">
        <v>251</v>
      </c>
      <c r="K234" s="3" t="s">
        <v>83</v>
      </c>
      <c r="L234" s="3"/>
      <c r="M234" s="3" t="s">
        <v>25</v>
      </c>
      <c r="N234" s="3">
        <v>0</v>
      </c>
      <c r="O234" s="3" t="s">
        <v>15</v>
      </c>
      <c r="P234" s="3"/>
      <c r="Q234" s="3" t="s">
        <v>395</v>
      </c>
      <c r="R234" s="3" t="s">
        <v>346</v>
      </c>
    </row>
    <row r="235" spans="2:18" s="2" customFormat="1" ht="18" customHeight="1" x14ac:dyDescent="0.2">
      <c r="B235" s="8">
        <f t="shared" si="17"/>
        <v>218</v>
      </c>
      <c r="C235" s="4" t="s">
        <v>22</v>
      </c>
      <c r="D235" s="4">
        <v>860005057</v>
      </c>
      <c r="E235" s="20" t="str">
        <f t="shared" si="16"/>
        <v>860005057</v>
      </c>
      <c r="F235" s="4" t="s">
        <v>11</v>
      </c>
      <c r="G235" s="4" t="s">
        <v>159</v>
      </c>
      <c r="H235" s="4" t="s">
        <v>447</v>
      </c>
      <c r="I235" s="4"/>
      <c r="J235" s="4" t="s">
        <v>403</v>
      </c>
      <c r="K235" s="4" t="s">
        <v>76</v>
      </c>
      <c r="L235" s="4"/>
      <c r="M235" s="4" t="s">
        <v>25</v>
      </c>
      <c r="N235" s="4">
        <v>0</v>
      </c>
      <c r="O235" s="4" t="s">
        <v>15</v>
      </c>
      <c r="P235" s="4"/>
      <c r="Q235" s="4" t="s">
        <v>352</v>
      </c>
      <c r="R235" s="4" t="s">
        <v>352</v>
      </c>
    </row>
    <row r="236" spans="2:18" s="2" customFormat="1" ht="18" customHeight="1" x14ac:dyDescent="0.2">
      <c r="B236" s="8">
        <f t="shared" si="17"/>
        <v>219</v>
      </c>
      <c r="C236" s="4" t="s">
        <v>22</v>
      </c>
      <c r="D236" s="4">
        <v>8600780</v>
      </c>
      <c r="E236" s="20" t="str">
        <f t="shared" si="16"/>
        <v>8600780</v>
      </c>
      <c r="F236" s="4" t="s">
        <v>11</v>
      </c>
      <c r="G236" s="4" t="s">
        <v>155</v>
      </c>
      <c r="H236" s="4" t="s">
        <v>446</v>
      </c>
      <c r="I236" s="4"/>
      <c r="J236" s="4" t="s">
        <v>156</v>
      </c>
      <c r="K236" s="4" t="s">
        <v>77</v>
      </c>
      <c r="L236" s="4"/>
      <c r="M236" s="4" t="s">
        <v>25</v>
      </c>
      <c r="N236" s="4">
        <v>0</v>
      </c>
      <c r="O236" s="4" t="s">
        <v>38</v>
      </c>
      <c r="P236" s="4"/>
      <c r="Q236" s="4" t="s">
        <v>352</v>
      </c>
      <c r="R236" s="4" t="s">
        <v>352</v>
      </c>
    </row>
    <row r="237" spans="2:18" s="2" customFormat="1" ht="18" customHeight="1" x14ac:dyDescent="0.2">
      <c r="B237" s="8">
        <f t="shared" si="17"/>
        <v>220</v>
      </c>
      <c r="C237" s="4" t="s">
        <v>22</v>
      </c>
      <c r="D237" s="4">
        <v>8800222</v>
      </c>
      <c r="E237" s="20" t="str">
        <f t="shared" si="16"/>
        <v>8800222</v>
      </c>
      <c r="F237" s="4" t="s">
        <v>11</v>
      </c>
      <c r="G237" s="4" t="s">
        <v>176</v>
      </c>
      <c r="H237" s="4" t="s">
        <v>452</v>
      </c>
      <c r="I237" s="4"/>
      <c r="J237" s="4" t="s">
        <v>177</v>
      </c>
      <c r="K237" s="4" t="s">
        <v>93</v>
      </c>
      <c r="L237" s="4"/>
      <c r="M237" s="4" t="s">
        <v>25</v>
      </c>
      <c r="N237" s="4">
        <v>0</v>
      </c>
      <c r="O237" s="4" t="s">
        <v>38</v>
      </c>
      <c r="P237" s="4"/>
      <c r="Q237" s="4" t="s">
        <v>352</v>
      </c>
      <c r="R237" s="4" t="s">
        <v>352</v>
      </c>
    </row>
    <row r="238" spans="2:18" s="2" customFormat="1" ht="18" customHeight="1" x14ac:dyDescent="0.2">
      <c r="B238" s="13">
        <f t="shared" si="17"/>
        <v>221</v>
      </c>
      <c r="C238" s="3" t="s">
        <v>22</v>
      </c>
      <c r="D238" s="3">
        <v>900000755</v>
      </c>
      <c r="E238" s="20" t="str">
        <f t="shared" ref="E238:E269" si="18">TRIM(D238)</f>
        <v>900000755</v>
      </c>
      <c r="F238" s="3" t="s">
        <v>11</v>
      </c>
      <c r="G238" s="3" t="s">
        <v>253</v>
      </c>
      <c r="H238" s="20" t="s">
        <v>469</v>
      </c>
      <c r="I238" s="20"/>
      <c r="J238" s="3" t="s">
        <v>254</v>
      </c>
      <c r="K238" s="3" t="s">
        <v>96</v>
      </c>
      <c r="L238" s="3"/>
      <c r="M238" s="3" t="s">
        <v>55</v>
      </c>
      <c r="N238" s="3">
        <v>4</v>
      </c>
      <c r="O238" s="3" t="s">
        <v>15</v>
      </c>
      <c r="P238" s="3"/>
      <c r="Q238" s="3" t="s">
        <v>395</v>
      </c>
      <c r="R238" s="3" t="s">
        <v>346</v>
      </c>
    </row>
    <row r="239" spans="2:18" s="2" customFormat="1" ht="18" customHeight="1" x14ac:dyDescent="0.2">
      <c r="B239" s="13">
        <f t="shared" si="17"/>
        <v>222</v>
      </c>
      <c r="C239" s="3" t="s">
        <v>22</v>
      </c>
      <c r="D239" s="3">
        <v>900000756</v>
      </c>
      <c r="E239" s="20" t="str">
        <f t="shared" si="18"/>
        <v>900000756</v>
      </c>
      <c r="F239" s="3" t="s">
        <v>11</v>
      </c>
      <c r="G239" s="3" t="s">
        <v>60</v>
      </c>
      <c r="H239" s="20" t="s">
        <v>422</v>
      </c>
      <c r="I239" s="20"/>
      <c r="J239" s="3" t="s">
        <v>256</v>
      </c>
      <c r="K239" s="3" t="s">
        <v>72</v>
      </c>
      <c r="L239" s="3"/>
      <c r="M239" s="3" t="s">
        <v>18</v>
      </c>
      <c r="N239" s="3">
        <v>2</v>
      </c>
      <c r="O239" s="3" t="s">
        <v>15</v>
      </c>
      <c r="P239" s="3"/>
      <c r="Q239" s="3" t="s">
        <v>395</v>
      </c>
      <c r="R239" s="3" t="s">
        <v>346</v>
      </c>
    </row>
    <row r="240" spans="2:18" s="2" customFormat="1" ht="18" customHeight="1" x14ac:dyDescent="0.2">
      <c r="B240" s="15">
        <f t="shared" si="17"/>
        <v>223</v>
      </c>
      <c r="C240" s="11" t="s">
        <v>16</v>
      </c>
      <c r="D240" s="11">
        <v>190005707</v>
      </c>
      <c r="E240" s="20" t="str">
        <f t="shared" si="18"/>
        <v>190005707</v>
      </c>
      <c r="F240" s="11" t="s">
        <v>11</v>
      </c>
      <c r="G240" s="11" t="s">
        <v>261</v>
      </c>
      <c r="H240" s="11" t="s">
        <v>471</v>
      </c>
      <c r="I240" s="11"/>
      <c r="J240" s="11" t="s">
        <v>262</v>
      </c>
      <c r="K240" s="11" t="s">
        <v>14</v>
      </c>
      <c r="L240" s="11"/>
      <c r="M240" s="11" t="s">
        <v>21</v>
      </c>
      <c r="N240" s="11">
        <v>1</v>
      </c>
      <c r="O240" s="11" t="s">
        <v>15</v>
      </c>
      <c r="P240" s="11"/>
      <c r="Q240" s="11" t="s">
        <v>354</v>
      </c>
      <c r="R240" s="11" t="s">
        <v>354</v>
      </c>
    </row>
    <row r="241" spans="2:18" s="2" customFormat="1" ht="18" customHeight="1" x14ac:dyDescent="0.2">
      <c r="B241" s="13">
        <f t="shared" si="17"/>
        <v>224</v>
      </c>
      <c r="C241" s="3" t="s">
        <v>22</v>
      </c>
      <c r="D241" s="3">
        <v>340001808</v>
      </c>
      <c r="E241" s="20" t="str">
        <f t="shared" si="18"/>
        <v>340001808</v>
      </c>
      <c r="F241" s="3" t="s">
        <v>11</v>
      </c>
      <c r="G241" s="3" t="s">
        <v>60</v>
      </c>
      <c r="H241" s="20" t="s">
        <v>422</v>
      </c>
      <c r="I241" s="20"/>
      <c r="J241" s="3" t="s">
        <v>247</v>
      </c>
      <c r="K241" s="3" t="s">
        <v>127</v>
      </c>
      <c r="L241" s="3"/>
      <c r="M241" s="3" t="s">
        <v>21</v>
      </c>
      <c r="N241" s="3">
        <v>1</v>
      </c>
      <c r="O241" s="3" t="s">
        <v>15</v>
      </c>
      <c r="P241" s="3"/>
      <c r="Q241" s="3" t="s">
        <v>395</v>
      </c>
      <c r="R241" s="3" t="s">
        <v>346</v>
      </c>
    </row>
    <row r="242" spans="2:18" s="2" customFormat="1" ht="18" customHeight="1" x14ac:dyDescent="0.2">
      <c r="B242" s="13">
        <f t="shared" si="17"/>
        <v>225</v>
      </c>
      <c r="C242" s="3" t="s">
        <v>22</v>
      </c>
      <c r="D242" s="3">
        <v>3402836</v>
      </c>
      <c r="E242" s="20" t="str">
        <f t="shared" si="18"/>
        <v>3402836</v>
      </c>
      <c r="F242" s="3" t="s">
        <v>11</v>
      </c>
      <c r="G242" s="3" t="s">
        <v>60</v>
      </c>
      <c r="H242" s="20" t="s">
        <v>422</v>
      </c>
      <c r="I242" s="20"/>
      <c r="J242" s="3" t="s">
        <v>263</v>
      </c>
      <c r="K242" s="3" t="s">
        <v>68</v>
      </c>
      <c r="L242" s="3"/>
      <c r="M242" s="3" t="s">
        <v>18</v>
      </c>
      <c r="N242" s="3">
        <v>2</v>
      </c>
      <c r="O242" s="3" t="s">
        <v>15</v>
      </c>
      <c r="P242" s="3"/>
      <c r="Q242" s="3" t="s">
        <v>395</v>
      </c>
      <c r="R242" s="3" t="s">
        <v>346</v>
      </c>
    </row>
    <row r="243" spans="2:18" s="2" customFormat="1" ht="18" customHeight="1" x14ac:dyDescent="0.2">
      <c r="B243" s="13">
        <f t="shared" si="17"/>
        <v>226</v>
      </c>
      <c r="C243" s="3" t="s">
        <v>22</v>
      </c>
      <c r="D243" s="3">
        <v>7500021</v>
      </c>
      <c r="E243" s="20" t="str">
        <f t="shared" si="18"/>
        <v>7500021</v>
      </c>
      <c r="F243" s="3" t="s">
        <v>11</v>
      </c>
      <c r="G243" s="3" t="s">
        <v>264</v>
      </c>
      <c r="H243" s="20" t="s">
        <v>472</v>
      </c>
      <c r="I243" s="20"/>
      <c r="J243" s="3" t="s">
        <v>265</v>
      </c>
      <c r="K243" s="3" t="s">
        <v>70</v>
      </c>
      <c r="L243" s="3"/>
      <c r="M243" s="3" t="s">
        <v>25</v>
      </c>
      <c r="N243" s="3">
        <v>0</v>
      </c>
      <c r="O243" s="3" t="s">
        <v>15</v>
      </c>
      <c r="P243" s="3"/>
      <c r="Q243" s="3" t="s">
        <v>395</v>
      </c>
      <c r="R243" s="3" t="s">
        <v>346</v>
      </c>
    </row>
    <row r="244" spans="2:18" s="2" customFormat="1" ht="18" customHeight="1" x14ac:dyDescent="0.2">
      <c r="B244" s="8">
        <f t="shared" si="17"/>
        <v>227</v>
      </c>
      <c r="C244" s="4" t="s">
        <v>22</v>
      </c>
      <c r="D244" s="4">
        <v>7500022</v>
      </c>
      <c r="E244" s="20" t="str">
        <f t="shared" si="18"/>
        <v>7500022</v>
      </c>
      <c r="F244" s="4" t="s">
        <v>11</v>
      </c>
      <c r="G244" s="4" t="s">
        <v>248</v>
      </c>
      <c r="H244" s="4" t="s">
        <v>467</v>
      </c>
      <c r="I244" s="4"/>
      <c r="J244" s="4" t="s">
        <v>249</v>
      </c>
      <c r="K244" s="4" t="s">
        <v>83</v>
      </c>
      <c r="L244" s="4"/>
      <c r="M244" s="4" t="s">
        <v>25</v>
      </c>
      <c r="N244" s="4">
        <v>0</v>
      </c>
      <c r="O244" s="4" t="s">
        <v>15</v>
      </c>
      <c r="P244" s="4"/>
      <c r="Q244" s="4" t="s">
        <v>352</v>
      </c>
      <c r="R244" s="4" t="s">
        <v>352</v>
      </c>
    </row>
    <row r="245" spans="2:18" s="2" customFormat="1" ht="18" customHeight="1" x14ac:dyDescent="0.2">
      <c r="B245" s="8">
        <f t="shared" ref="B245:B276" si="19">B244+1</f>
        <v>228</v>
      </c>
      <c r="C245" s="4" t="s">
        <v>22</v>
      </c>
      <c r="D245" s="4">
        <v>7500024</v>
      </c>
      <c r="E245" s="20" t="str">
        <f t="shared" si="18"/>
        <v>7500024</v>
      </c>
      <c r="F245" s="4" t="s">
        <v>11</v>
      </c>
      <c r="G245" s="4" t="s">
        <v>250</v>
      </c>
      <c r="H245" s="4" t="s">
        <v>468</v>
      </c>
      <c r="I245" s="4"/>
      <c r="J245" s="4" t="s">
        <v>251</v>
      </c>
      <c r="K245" s="4" t="s">
        <v>106</v>
      </c>
      <c r="L245" s="4"/>
      <c r="M245" s="4" t="s">
        <v>25</v>
      </c>
      <c r="N245" s="4">
        <v>0</v>
      </c>
      <c r="O245" s="4" t="s">
        <v>15</v>
      </c>
      <c r="P245" s="4"/>
      <c r="Q245" s="4" t="s">
        <v>352</v>
      </c>
      <c r="R245" s="4" t="s">
        <v>352</v>
      </c>
    </row>
    <row r="246" spans="2:18" s="2" customFormat="1" ht="18" customHeight="1" x14ac:dyDescent="0.2">
      <c r="B246" s="13">
        <f t="shared" si="19"/>
        <v>229</v>
      </c>
      <c r="C246" s="3" t="s">
        <v>22</v>
      </c>
      <c r="D246" s="3" t="s">
        <v>381</v>
      </c>
      <c r="E246" s="20" t="str">
        <f t="shared" si="18"/>
        <v>7641-0001-0406</v>
      </c>
      <c r="F246" s="3" t="s">
        <v>11</v>
      </c>
      <c r="G246" s="3" t="s">
        <v>266</v>
      </c>
      <c r="H246" s="20" t="s">
        <v>473</v>
      </c>
      <c r="I246" s="20"/>
      <c r="J246" s="3" t="s">
        <v>267</v>
      </c>
      <c r="K246" s="3" t="s">
        <v>76</v>
      </c>
      <c r="L246" s="3"/>
      <c r="M246" s="3" t="s">
        <v>25</v>
      </c>
      <c r="N246" s="3">
        <v>0</v>
      </c>
      <c r="O246" s="3" t="s">
        <v>15</v>
      </c>
      <c r="P246" s="3"/>
      <c r="Q246" s="3" t="s">
        <v>395</v>
      </c>
      <c r="R246" s="3" t="s">
        <v>346</v>
      </c>
    </row>
    <row r="247" spans="2:18" s="2" customFormat="1" ht="18" customHeight="1" x14ac:dyDescent="0.2">
      <c r="B247" s="8">
        <f t="shared" si="19"/>
        <v>230</v>
      </c>
      <c r="C247" s="4" t="s">
        <v>22</v>
      </c>
      <c r="D247" s="4">
        <v>860005057</v>
      </c>
      <c r="E247" s="20" t="str">
        <f t="shared" si="18"/>
        <v>860005057</v>
      </c>
      <c r="F247" s="4" t="s">
        <v>11</v>
      </c>
      <c r="G247" s="4" t="s">
        <v>159</v>
      </c>
      <c r="H247" s="4" t="s">
        <v>447</v>
      </c>
      <c r="I247" s="4"/>
      <c r="J247" s="4" t="s">
        <v>252</v>
      </c>
      <c r="K247" s="4" t="s">
        <v>77</v>
      </c>
      <c r="L247" s="4"/>
      <c r="M247" s="4" t="s">
        <v>25</v>
      </c>
      <c r="N247" s="4">
        <v>0</v>
      </c>
      <c r="O247" s="4" t="s">
        <v>15</v>
      </c>
      <c r="P247" s="4"/>
      <c r="Q247" s="4" t="s">
        <v>352</v>
      </c>
      <c r="R247" s="4" t="s">
        <v>352</v>
      </c>
    </row>
    <row r="248" spans="2:18" s="2" customFormat="1" ht="18" customHeight="1" x14ac:dyDescent="0.2">
      <c r="B248" s="8">
        <f t="shared" si="19"/>
        <v>231</v>
      </c>
      <c r="C248" s="4" t="s">
        <v>22</v>
      </c>
      <c r="D248" s="4">
        <v>8600780</v>
      </c>
      <c r="E248" s="20" t="str">
        <f t="shared" si="18"/>
        <v>8600780</v>
      </c>
      <c r="F248" s="4" t="s">
        <v>11</v>
      </c>
      <c r="G248" s="4" t="s">
        <v>155</v>
      </c>
      <c r="H248" s="4" t="s">
        <v>446</v>
      </c>
      <c r="I248" s="4"/>
      <c r="J248" s="4" t="s">
        <v>156</v>
      </c>
      <c r="K248" s="4" t="s">
        <v>93</v>
      </c>
      <c r="L248" s="4"/>
      <c r="M248" s="4" t="s">
        <v>25</v>
      </c>
      <c r="N248" s="4">
        <v>0</v>
      </c>
      <c r="O248" s="4" t="s">
        <v>38</v>
      </c>
      <c r="P248" s="4"/>
      <c r="Q248" s="4" t="s">
        <v>352</v>
      </c>
      <c r="R248" s="4" t="s">
        <v>352</v>
      </c>
    </row>
    <row r="249" spans="2:18" s="2" customFormat="1" ht="18" customHeight="1" x14ac:dyDescent="0.2">
      <c r="B249" s="8">
        <f t="shared" si="19"/>
        <v>232</v>
      </c>
      <c r="C249" s="4" t="s">
        <v>22</v>
      </c>
      <c r="D249" s="4">
        <v>8800222</v>
      </c>
      <c r="E249" s="20" t="str">
        <f t="shared" si="18"/>
        <v>8800222</v>
      </c>
      <c r="F249" s="4" t="s">
        <v>11</v>
      </c>
      <c r="G249" s="4" t="s">
        <v>176</v>
      </c>
      <c r="H249" s="4" t="s">
        <v>452</v>
      </c>
      <c r="I249" s="4"/>
      <c r="J249" s="4" t="s">
        <v>177</v>
      </c>
      <c r="K249" s="4" t="s">
        <v>96</v>
      </c>
      <c r="L249" s="4"/>
      <c r="M249" s="4" t="s">
        <v>25</v>
      </c>
      <c r="N249" s="4">
        <v>0</v>
      </c>
      <c r="O249" s="4" t="s">
        <v>38</v>
      </c>
      <c r="P249" s="4"/>
      <c r="Q249" s="4" t="s">
        <v>352</v>
      </c>
      <c r="R249" s="4" t="s">
        <v>352</v>
      </c>
    </row>
    <row r="250" spans="2:18" s="2" customFormat="1" ht="18" customHeight="1" x14ac:dyDescent="0.2">
      <c r="B250" s="13">
        <f t="shared" si="19"/>
        <v>233</v>
      </c>
      <c r="C250" s="3" t="s">
        <v>22</v>
      </c>
      <c r="D250" s="3">
        <v>900000755</v>
      </c>
      <c r="E250" s="20" t="str">
        <f t="shared" si="18"/>
        <v>900000755</v>
      </c>
      <c r="F250" s="3" t="s">
        <v>11</v>
      </c>
      <c r="G250" s="3" t="s">
        <v>253</v>
      </c>
      <c r="H250" s="20" t="s">
        <v>469</v>
      </c>
      <c r="I250" s="20"/>
      <c r="J250" s="3" t="s">
        <v>254</v>
      </c>
      <c r="K250" s="3" t="s">
        <v>72</v>
      </c>
      <c r="L250" s="3"/>
      <c r="M250" s="3" t="s">
        <v>200</v>
      </c>
      <c r="N250" s="3">
        <v>6</v>
      </c>
      <c r="O250" s="3" t="s">
        <v>15</v>
      </c>
      <c r="P250" s="3"/>
      <c r="Q250" s="3" t="s">
        <v>395</v>
      </c>
      <c r="R250" s="3" t="s">
        <v>346</v>
      </c>
    </row>
    <row r="251" spans="2:18" s="2" customFormat="1" ht="18" customHeight="1" x14ac:dyDescent="0.2">
      <c r="B251" s="13">
        <f t="shared" si="19"/>
        <v>234</v>
      </c>
      <c r="C251" s="3" t="s">
        <v>22</v>
      </c>
      <c r="D251" s="3">
        <v>900000757</v>
      </c>
      <c r="E251" s="20" t="str">
        <f t="shared" si="18"/>
        <v>900000757</v>
      </c>
      <c r="F251" s="3" t="s">
        <v>11</v>
      </c>
      <c r="G251" s="3" t="s">
        <v>268</v>
      </c>
      <c r="H251" s="20" t="s">
        <v>474</v>
      </c>
      <c r="I251" s="20"/>
      <c r="J251" s="3" t="s">
        <v>269</v>
      </c>
      <c r="K251" s="3" t="s">
        <v>133</v>
      </c>
      <c r="L251" s="3"/>
      <c r="M251" s="3" t="s">
        <v>18</v>
      </c>
      <c r="N251" s="3">
        <v>2</v>
      </c>
      <c r="O251" s="3" t="s">
        <v>15</v>
      </c>
      <c r="P251" s="3"/>
      <c r="Q251" s="3" t="s">
        <v>395</v>
      </c>
      <c r="R251" s="3" t="s">
        <v>346</v>
      </c>
    </row>
    <row r="252" spans="2:18" s="2" customFormat="1" ht="18" customHeight="1" x14ac:dyDescent="0.2">
      <c r="B252" s="13">
        <f t="shared" si="19"/>
        <v>235</v>
      </c>
      <c r="C252" s="3" t="s">
        <v>22</v>
      </c>
      <c r="D252" s="3">
        <v>900001259</v>
      </c>
      <c r="E252" s="20" t="str">
        <f t="shared" si="18"/>
        <v>900001259</v>
      </c>
      <c r="F252" s="3" t="s">
        <v>11</v>
      </c>
      <c r="G252" s="3" t="s">
        <v>255</v>
      </c>
      <c r="H252" s="20" t="s">
        <v>470</v>
      </c>
      <c r="I252" s="20"/>
      <c r="J252" s="3" t="s">
        <v>256</v>
      </c>
      <c r="K252" s="3" t="s">
        <v>260</v>
      </c>
      <c r="L252" s="3"/>
      <c r="M252" s="3" t="s">
        <v>55</v>
      </c>
      <c r="N252" s="3">
        <v>4</v>
      </c>
      <c r="O252" s="3" t="s">
        <v>15</v>
      </c>
      <c r="P252" s="3"/>
      <c r="Q252" s="3" t="s">
        <v>395</v>
      </c>
      <c r="R252" s="3" t="s">
        <v>346</v>
      </c>
    </row>
    <row r="253" spans="2:18" s="2" customFormat="1" ht="18" customHeight="1" x14ac:dyDescent="0.2">
      <c r="B253" s="15">
        <f t="shared" si="19"/>
        <v>236</v>
      </c>
      <c r="C253" s="11" t="s">
        <v>16</v>
      </c>
      <c r="D253" s="11">
        <v>190005895</v>
      </c>
      <c r="E253" s="20" t="str">
        <f t="shared" si="18"/>
        <v>190005895</v>
      </c>
      <c r="F253" s="11" t="s">
        <v>11</v>
      </c>
      <c r="G253" s="11" t="s">
        <v>270</v>
      </c>
      <c r="H253" s="11" t="s">
        <v>475</v>
      </c>
      <c r="I253" s="11"/>
      <c r="J253" s="11" t="s">
        <v>271</v>
      </c>
      <c r="K253" s="11" t="s">
        <v>14</v>
      </c>
      <c r="L253" s="11"/>
      <c r="M253" s="11" t="s">
        <v>21</v>
      </c>
      <c r="N253" s="11">
        <v>1</v>
      </c>
      <c r="O253" s="11" t="s">
        <v>15</v>
      </c>
      <c r="P253" s="11"/>
      <c r="Q253" s="11" t="s">
        <v>354</v>
      </c>
      <c r="R253" s="11" t="s">
        <v>354</v>
      </c>
    </row>
    <row r="254" spans="2:18" s="2" customFormat="1" ht="18" customHeight="1" x14ac:dyDescent="0.2">
      <c r="B254" s="12">
        <f t="shared" si="19"/>
        <v>237</v>
      </c>
      <c r="C254" s="3" t="s">
        <v>22</v>
      </c>
      <c r="D254" s="3">
        <v>300000839</v>
      </c>
      <c r="E254" s="20" t="str">
        <f t="shared" si="18"/>
        <v>300000839</v>
      </c>
      <c r="F254" s="3" t="s">
        <v>11</v>
      </c>
      <c r="G254" s="3" t="s">
        <v>34</v>
      </c>
      <c r="H254" s="20" t="s">
        <v>418</v>
      </c>
      <c r="I254" s="20"/>
      <c r="J254" s="3" t="s">
        <v>272</v>
      </c>
      <c r="K254" s="3" t="s">
        <v>14</v>
      </c>
      <c r="L254" s="3"/>
      <c r="M254" s="3" t="s">
        <v>33</v>
      </c>
      <c r="N254" s="3">
        <v>0</v>
      </c>
      <c r="O254" s="3" t="s">
        <v>15</v>
      </c>
      <c r="P254" s="3"/>
      <c r="Q254" s="3" t="s">
        <v>395</v>
      </c>
      <c r="R254" s="3" t="s">
        <v>346</v>
      </c>
    </row>
    <row r="255" spans="2:18" s="2" customFormat="1" ht="18" customHeight="1" x14ac:dyDescent="0.2">
      <c r="B255" s="12">
        <f t="shared" si="19"/>
        <v>238</v>
      </c>
      <c r="C255" s="3" t="s">
        <v>22</v>
      </c>
      <c r="D255" s="3">
        <v>300000840</v>
      </c>
      <c r="E255" s="20" t="str">
        <f t="shared" si="18"/>
        <v>300000840</v>
      </c>
      <c r="F255" s="3" t="s">
        <v>11</v>
      </c>
      <c r="G255" s="3" t="s">
        <v>34</v>
      </c>
      <c r="H255" s="20" t="s">
        <v>418</v>
      </c>
      <c r="I255" s="20"/>
      <c r="J255" s="3" t="s">
        <v>273</v>
      </c>
      <c r="K255" s="3" t="s">
        <v>14</v>
      </c>
      <c r="L255" s="3"/>
      <c r="M255" s="3" t="s">
        <v>33</v>
      </c>
      <c r="N255" s="3">
        <v>0</v>
      </c>
      <c r="O255" s="3" t="s">
        <v>15</v>
      </c>
      <c r="P255" s="3"/>
      <c r="Q255" s="3" t="s">
        <v>395</v>
      </c>
      <c r="R255" s="3" t="s">
        <v>346</v>
      </c>
    </row>
    <row r="256" spans="2:18" s="2" customFormat="1" ht="18" customHeight="1" x14ac:dyDescent="0.2">
      <c r="B256" s="12">
        <f t="shared" si="19"/>
        <v>239</v>
      </c>
      <c r="C256" s="3" t="s">
        <v>22</v>
      </c>
      <c r="D256" s="3">
        <v>530000565</v>
      </c>
      <c r="E256" s="20" t="str">
        <f t="shared" si="18"/>
        <v>530000565</v>
      </c>
      <c r="F256" s="3" t="s">
        <v>11</v>
      </c>
      <c r="G256" s="3" t="s">
        <v>23</v>
      </c>
      <c r="H256" s="20" t="s">
        <v>410</v>
      </c>
      <c r="I256" s="20"/>
      <c r="J256" s="3" t="s">
        <v>274</v>
      </c>
      <c r="K256" s="3" t="s">
        <v>14</v>
      </c>
      <c r="L256" s="3"/>
      <c r="M256" s="3" t="s">
        <v>33</v>
      </c>
      <c r="N256" s="3">
        <v>0</v>
      </c>
      <c r="O256" s="3" t="s">
        <v>15</v>
      </c>
      <c r="P256" s="3"/>
      <c r="Q256" s="3" t="s">
        <v>395</v>
      </c>
      <c r="R256" s="3" t="s">
        <v>346</v>
      </c>
    </row>
    <row r="257" spans="2:18" s="2" customFormat="1" ht="18" customHeight="1" x14ac:dyDescent="0.2">
      <c r="B257" s="12">
        <f t="shared" si="19"/>
        <v>240</v>
      </c>
      <c r="C257" s="3" t="s">
        <v>16</v>
      </c>
      <c r="D257" s="3">
        <v>190005896</v>
      </c>
      <c r="E257" s="20" t="str">
        <f t="shared" si="18"/>
        <v>190005896</v>
      </c>
      <c r="F257" s="3" t="s">
        <v>11</v>
      </c>
      <c r="G257" s="3" t="s">
        <v>60</v>
      </c>
      <c r="H257" s="20" t="s">
        <v>422</v>
      </c>
      <c r="I257" s="20"/>
      <c r="J257" s="3" t="s">
        <v>275</v>
      </c>
      <c r="K257" s="3" t="s">
        <v>14</v>
      </c>
      <c r="L257" s="3"/>
      <c r="M257" s="3" t="s">
        <v>74</v>
      </c>
      <c r="N257" s="3">
        <v>3</v>
      </c>
      <c r="O257" s="3" t="s">
        <v>15</v>
      </c>
      <c r="P257" s="3"/>
      <c r="Q257" s="3" t="s">
        <v>395</v>
      </c>
      <c r="R257" s="3" t="s">
        <v>346</v>
      </c>
    </row>
    <row r="258" spans="2:18" s="2" customFormat="1" ht="18" customHeight="1" x14ac:dyDescent="0.2">
      <c r="B258" s="12">
        <f t="shared" si="19"/>
        <v>241</v>
      </c>
      <c r="C258" s="3" t="s">
        <v>16</v>
      </c>
      <c r="D258" s="3">
        <v>190005897</v>
      </c>
      <c r="E258" s="20" t="str">
        <f t="shared" si="18"/>
        <v>190005897</v>
      </c>
      <c r="F258" s="3" t="s">
        <v>11</v>
      </c>
      <c r="G258" s="3" t="s">
        <v>60</v>
      </c>
      <c r="H258" s="20" t="s">
        <v>422</v>
      </c>
      <c r="I258" s="20"/>
      <c r="J258" s="3" t="s">
        <v>276</v>
      </c>
      <c r="K258" s="3" t="s">
        <v>14</v>
      </c>
      <c r="L258" s="3"/>
      <c r="M258" s="3" t="s">
        <v>21</v>
      </c>
      <c r="N258" s="3">
        <v>1</v>
      </c>
      <c r="O258" s="3" t="s">
        <v>15</v>
      </c>
      <c r="P258" s="3"/>
      <c r="Q258" s="3" t="s">
        <v>395</v>
      </c>
      <c r="R258" s="3" t="s">
        <v>346</v>
      </c>
    </row>
    <row r="259" spans="2:18" s="2" customFormat="1" ht="18" customHeight="1" x14ac:dyDescent="0.2">
      <c r="B259" s="12">
        <f t="shared" si="19"/>
        <v>242</v>
      </c>
      <c r="C259" s="3" t="s">
        <v>16</v>
      </c>
      <c r="D259" s="3">
        <v>190005898</v>
      </c>
      <c r="E259" s="20" t="str">
        <f t="shared" si="18"/>
        <v>190005898</v>
      </c>
      <c r="F259" s="3" t="s">
        <v>11</v>
      </c>
      <c r="G259" s="3" t="s">
        <v>60</v>
      </c>
      <c r="H259" s="20" t="s">
        <v>476</v>
      </c>
      <c r="I259" s="20"/>
      <c r="J259" s="3" t="s">
        <v>277</v>
      </c>
      <c r="K259" s="3" t="s">
        <v>14</v>
      </c>
      <c r="L259" s="3"/>
      <c r="M259" s="3" t="s">
        <v>21</v>
      </c>
      <c r="N259" s="3">
        <v>1</v>
      </c>
      <c r="O259" s="3" t="s">
        <v>38</v>
      </c>
      <c r="P259" s="3"/>
      <c r="Q259" s="3" t="s">
        <v>395</v>
      </c>
      <c r="R259" s="3" t="s">
        <v>346</v>
      </c>
    </row>
    <row r="260" spans="2:18" s="2" customFormat="1" ht="18" customHeight="1" x14ac:dyDescent="0.2">
      <c r="B260" s="12">
        <f t="shared" si="19"/>
        <v>243</v>
      </c>
      <c r="C260" s="3" t="s">
        <v>16</v>
      </c>
      <c r="D260" s="3">
        <v>190005899</v>
      </c>
      <c r="E260" s="20" t="str">
        <f t="shared" si="18"/>
        <v>190005899</v>
      </c>
      <c r="F260" s="3" t="s">
        <v>11</v>
      </c>
      <c r="G260" s="3" t="s">
        <v>60</v>
      </c>
      <c r="H260" s="20" t="s">
        <v>422</v>
      </c>
      <c r="I260" s="20"/>
      <c r="J260" s="3" t="s">
        <v>278</v>
      </c>
      <c r="K260" s="3" t="s">
        <v>14</v>
      </c>
      <c r="L260" s="3"/>
      <c r="M260" s="3" t="s">
        <v>21</v>
      </c>
      <c r="N260" s="3">
        <v>1</v>
      </c>
      <c r="O260" s="3" t="s">
        <v>15</v>
      </c>
      <c r="P260" s="3"/>
      <c r="Q260" s="3" t="s">
        <v>395</v>
      </c>
      <c r="R260" s="3" t="s">
        <v>346</v>
      </c>
    </row>
    <row r="261" spans="2:18" s="2" customFormat="1" ht="18" customHeight="1" x14ac:dyDescent="0.2">
      <c r="B261" s="12">
        <f t="shared" si="19"/>
        <v>244</v>
      </c>
      <c r="C261" s="3" t="s">
        <v>16</v>
      </c>
      <c r="D261" s="3">
        <v>250000617</v>
      </c>
      <c r="E261" s="20" t="str">
        <f t="shared" si="18"/>
        <v>250000617</v>
      </c>
      <c r="F261" s="3" t="s">
        <v>11</v>
      </c>
      <c r="G261" s="3" t="s">
        <v>23</v>
      </c>
      <c r="H261" s="20" t="s">
        <v>410</v>
      </c>
      <c r="I261" s="20"/>
      <c r="J261" s="3" t="s">
        <v>279</v>
      </c>
      <c r="K261" s="3" t="s">
        <v>14</v>
      </c>
      <c r="L261" s="3"/>
      <c r="M261" s="3" t="s">
        <v>21</v>
      </c>
      <c r="N261" s="3">
        <v>1</v>
      </c>
      <c r="O261" s="3" t="s">
        <v>15</v>
      </c>
      <c r="P261" s="3"/>
      <c r="Q261" s="3" t="s">
        <v>395</v>
      </c>
      <c r="R261" s="3" t="s">
        <v>346</v>
      </c>
    </row>
    <row r="262" spans="2:18" s="2" customFormat="1" ht="18" customHeight="1" x14ac:dyDescent="0.2">
      <c r="B262" s="12">
        <f t="shared" si="19"/>
        <v>245</v>
      </c>
      <c r="C262" s="3" t="s">
        <v>16</v>
      </c>
      <c r="D262" s="3">
        <v>320000344</v>
      </c>
      <c r="E262" s="20" t="str">
        <f t="shared" si="18"/>
        <v>320000344</v>
      </c>
      <c r="F262" s="3" t="s">
        <v>11</v>
      </c>
      <c r="G262" s="3" t="s">
        <v>23</v>
      </c>
      <c r="H262" s="20" t="s">
        <v>410</v>
      </c>
      <c r="I262" s="20"/>
      <c r="J262" s="3" t="s">
        <v>280</v>
      </c>
      <c r="K262" s="3" t="s">
        <v>14</v>
      </c>
      <c r="L262" s="3"/>
      <c r="M262" s="3" t="s">
        <v>200</v>
      </c>
      <c r="N262" s="3">
        <v>6</v>
      </c>
      <c r="O262" s="3" t="s">
        <v>15</v>
      </c>
      <c r="P262" s="3"/>
      <c r="Q262" s="3" t="s">
        <v>395</v>
      </c>
      <c r="R262" s="3" t="s">
        <v>346</v>
      </c>
    </row>
    <row r="263" spans="2:18" s="2" customFormat="1" ht="18" customHeight="1" x14ac:dyDescent="0.2">
      <c r="B263" s="12">
        <f t="shared" si="19"/>
        <v>246</v>
      </c>
      <c r="C263" s="3" t="s">
        <v>16</v>
      </c>
      <c r="D263" s="3">
        <v>3200671</v>
      </c>
      <c r="E263" s="20" t="str">
        <f t="shared" si="18"/>
        <v>3200671</v>
      </c>
      <c r="F263" s="3" t="s">
        <v>11</v>
      </c>
      <c r="G263" s="3" t="s">
        <v>281</v>
      </c>
      <c r="H263" s="20" t="s">
        <v>477</v>
      </c>
      <c r="I263" s="20"/>
      <c r="J263" s="3" t="s">
        <v>282</v>
      </c>
      <c r="K263" s="3" t="s">
        <v>14</v>
      </c>
      <c r="L263" s="3"/>
      <c r="M263" s="3" t="s">
        <v>21</v>
      </c>
      <c r="N263" s="3">
        <v>1</v>
      </c>
      <c r="O263" s="3" t="s">
        <v>15</v>
      </c>
      <c r="P263" s="3"/>
      <c r="Q263" s="3" t="s">
        <v>395</v>
      </c>
      <c r="R263" s="3" t="s">
        <v>346</v>
      </c>
    </row>
    <row r="264" spans="2:18" s="2" customFormat="1" ht="18" customHeight="1" x14ac:dyDescent="0.2">
      <c r="B264" s="12">
        <f t="shared" si="19"/>
        <v>247</v>
      </c>
      <c r="C264" s="3" t="s">
        <v>16</v>
      </c>
      <c r="D264" s="3">
        <v>3200707</v>
      </c>
      <c r="E264" s="20" t="str">
        <f t="shared" si="18"/>
        <v>3200707</v>
      </c>
      <c r="F264" s="3" t="s">
        <v>11</v>
      </c>
      <c r="G264" s="3" t="s">
        <v>60</v>
      </c>
      <c r="H264" s="20" t="s">
        <v>422</v>
      </c>
      <c r="I264" s="20"/>
      <c r="J264" s="3" t="s">
        <v>283</v>
      </c>
      <c r="K264" s="3" t="s">
        <v>14</v>
      </c>
      <c r="L264" s="3"/>
      <c r="M264" s="3" t="s">
        <v>21</v>
      </c>
      <c r="N264" s="3">
        <v>1</v>
      </c>
      <c r="O264" s="3" t="s">
        <v>15</v>
      </c>
      <c r="P264" s="3"/>
      <c r="Q264" s="3" t="s">
        <v>395</v>
      </c>
      <c r="R264" s="3" t="s">
        <v>346</v>
      </c>
    </row>
    <row r="265" spans="2:18" s="2" customFormat="1" ht="18" customHeight="1" x14ac:dyDescent="0.2">
      <c r="B265" s="12">
        <f t="shared" si="19"/>
        <v>248</v>
      </c>
      <c r="C265" s="3" t="s">
        <v>16</v>
      </c>
      <c r="D265" s="3">
        <v>3400060</v>
      </c>
      <c r="E265" s="20" t="str">
        <f t="shared" si="18"/>
        <v>3400060</v>
      </c>
      <c r="F265" s="3" t="s">
        <v>11</v>
      </c>
      <c r="G265" s="3" t="s">
        <v>115</v>
      </c>
      <c r="H265" s="20" t="s">
        <v>478</v>
      </c>
      <c r="I265" s="20"/>
      <c r="J265" s="3" t="s">
        <v>284</v>
      </c>
      <c r="K265" s="3" t="s">
        <v>14</v>
      </c>
      <c r="L265" s="3"/>
      <c r="M265" s="3" t="s">
        <v>21</v>
      </c>
      <c r="N265" s="3">
        <v>1</v>
      </c>
      <c r="O265" s="3" t="s">
        <v>15</v>
      </c>
      <c r="P265" s="3"/>
      <c r="Q265" s="3" t="s">
        <v>395</v>
      </c>
      <c r="R265" s="3" t="s">
        <v>346</v>
      </c>
    </row>
    <row r="266" spans="2:18" s="2" customFormat="1" ht="18" customHeight="1" x14ac:dyDescent="0.2">
      <c r="B266" s="12">
        <f t="shared" si="19"/>
        <v>249</v>
      </c>
      <c r="C266" s="3" t="s">
        <v>16</v>
      </c>
      <c r="D266" s="3">
        <v>3400167</v>
      </c>
      <c r="E266" s="20" t="str">
        <f t="shared" si="18"/>
        <v>3400167</v>
      </c>
      <c r="F266" s="3" t="s">
        <v>11</v>
      </c>
      <c r="G266" s="3" t="s">
        <v>91</v>
      </c>
      <c r="H266" s="20" t="s">
        <v>427</v>
      </c>
      <c r="I266" s="20"/>
      <c r="J266" s="3" t="s">
        <v>92</v>
      </c>
      <c r="K266" s="3" t="s">
        <v>14</v>
      </c>
      <c r="L266" s="3"/>
      <c r="M266" s="3" t="s">
        <v>21</v>
      </c>
      <c r="N266" s="3">
        <v>1</v>
      </c>
      <c r="O266" s="3" t="s">
        <v>15</v>
      </c>
      <c r="P266" s="3"/>
      <c r="Q266" s="3" t="s">
        <v>395</v>
      </c>
      <c r="R266" s="3" t="s">
        <v>346</v>
      </c>
    </row>
    <row r="267" spans="2:18" s="2" customFormat="1" ht="18" customHeight="1" x14ac:dyDescent="0.2">
      <c r="B267" s="12">
        <f t="shared" si="19"/>
        <v>250</v>
      </c>
      <c r="C267" s="3" t="s">
        <v>16</v>
      </c>
      <c r="D267" s="3">
        <v>3400754</v>
      </c>
      <c r="E267" s="20" t="str">
        <f t="shared" si="18"/>
        <v>3400754</v>
      </c>
      <c r="F267" s="3" t="s">
        <v>11</v>
      </c>
      <c r="G267" s="3" t="s">
        <v>285</v>
      </c>
      <c r="H267" s="20" t="s">
        <v>479</v>
      </c>
      <c r="I267" s="20"/>
      <c r="J267" s="3" t="s">
        <v>286</v>
      </c>
      <c r="K267" s="3" t="s">
        <v>14</v>
      </c>
      <c r="L267" s="3"/>
      <c r="M267" s="3" t="s">
        <v>190</v>
      </c>
      <c r="N267" s="3">
        <v>5</v>
      </c>
      <c r="O267" s="3" t="s">
        <v>15</v>
      </c>
      <c r="P267" s="3"/>
      <c r="Q267" s="3" t="s">
        <v>395</v>
      </c>
      <c r="R267" s="3" t="s">
        <v>346</v>
      </c>
    </row>
    <row r="268" spans="2:18" s="2" customFormat="1" ht="18" customHeight="1" x14ac:dyDescent="0.2">
      <c r="B268" s="12">
        <f t="shared" si="19"/>
        <v>251</v>
      </c>
      <c r="C268" s="3" t="s">
        <v>16</v>
      </c>
      <c r="D268" s="3">
        <v>3400757</v>
      </c>
      <c r="E268" s="20" t="str">
        <f t="shared" si="18"/>
        <v>3400757</v>
      </c>
      <c r="F268" s="3" t="s">
        <v>11</v>
      </c>
      <c r="G268" s="3" t="s">
        <v>23</v>
      </c>
      <c r="H268" s="20" t="s">
        <v>410</v>
      </c>
      <c r="I268" s="20"/>
      <c r="J268" s="3" t="s">
        <v>287</v>
      </c>
      <c r="K268" s="3" t="s">
        <v>14</v>
      </c>
      <c r="L268" s="3"/>
      <c r="M268" s="3" t="s">
        <v>21</v>
      </c>
      <c r="N268" s="3">
        <v>1</v>
      </c>
      <c r="O268" s="3" t="s">
        <v>15</v>
      </c>
      <c r="P268" s="3"/>
      <c r="Q268" s="3" t="s">
        <v>395</v>
      </c>
      <c r="R268" s="3" t="s">
        <v>346</v>
      </c>
    </row>
    <row r="269" spans="2:18" s="2" customFormat="1" ht="18" customHeight="1" x14ac:dyDescent="0.2">
      <c r="B269" s="12">
        <f t="shared" si="19"/>
        <v>252</v>
      </c>
      <c r="C269" s="3" t="s">
        <v>16</v>
      </c>
      <c r="D269" s="3">
        <v>3400883</v>
      </c>
      <c r="E269" s="20" t="str">
        <f t="shared" si="18"/>
        <v>3400883</v>
      </c>
      <c r="F269" s="3" t="s">
        <v>11</v>
      </c>
      <c r="G269" s="3" t="s">
        <v>34</v>
      </c>
      <c r="H269" s="20" t="s">
        <v>418</v>
      </c>
      <c r="I269" s="20"/>
      <c r="J269" s="3" t="s">
        <v>288</v>
      </c>
      <c r="K269" s="3" t="s">
        <v>14</v>
      </c>
      <c r="L269" s="3"/>
      <c r="M269" s="3" t="s">
        <v>21</v>
      </c>
      <c r="N269" s="3">
        <v>1</v>
      </c>
      <c r="O269" s="3" t="s">
        <v>15</v>
      </c>
      <c r="P269" s="3"/>
      <c r="Q269" s="3" t="s">
        <v>395</v>
      </c>
      <c r="R269" s="3" t="s">
        <v>346</v>
      </c>
    </row>
    <row r="270" spans="2:18" s="2" customFormat="1" ht="18" customHeight="1" x14ac:dyDescent="0.2">
      <c r="B270" s="12">
        <f t="shared" si="19"/>
        <v>253</v>
      </c>
      <c r="C270" s="3" t="s">
        <v>16</v>
      </c>
      <c r="D270" s="3">
        <v>3401043</v>
      </c>
      <c r="E270" s="20" t="str">
        <f t="shared" ref="E270:E301" si="20">TRIM(D270)</f>
        <v>3401043</v>
      </c>
      <c r="F270" s="3" t="s">
        <v>11</v>
      </c>
      <c r="G270" s="3" t="s">
        <v>65</v>
      </c>
      <c r="H270" s="20" t="s">
        <v>424</v>
      </c>
      <c r="I270" s="20"/>
      <c r="J270" s="3" t="s">
        <v>289</v>
      </c>
      <c r="K270" s="3" t="s">
        <v>14</v>
      </c>
      <c r="L270" s="3"/>
      <c r="M270" s="3" t="s">
        <v>211</v>
      </c>
      <c r="N270" s="3">
        <v>12</v>
      </c>
      <c r="O270" s="3" t="s">
        <v>15</v>
      </c>
      <c r="P270" s="3"/>
      <c r="Q270" s="3" t="s">
        <v>395</v>
      </c>
      <c r="R270" s="3" t="s">
        <v>346</v>
      </c>
    </row>
    <row r="271" spans="2:18" s="2" customFormat="1" ht="18" customHeight="1" x14ac:dyDescent="0.2">
      <c r="B271" s="12">
        <f t="shared" si="19"/>
        <v>254</v>
      </c>
      <c r="C271" s="3" t="s">
        <v>16</v>
      </c>
      <c r="D271" s="3">
        <v>3401883</v>
      </c>
      <c r="E271" s="20" t="str">
        <f t="shared" si="20"/>
        <v>3401883</v>
      </c>
      <c r="F271" s="3" t="s">
        <v>11</v>
      </c>
      <c r="G271" s="3" t="s">
        <v>23</v>
      </c>
      <c r="H271" s="20" t="s">
        <v>410</v>
      </c>
      <c r="I271" s="20"/>
      <c r="J271" s="3" t="s">
        <v>290</v>
      </c>
      <c r="K271" s="3" t="s">
        <v>14</v>
      </c>
      <c r="L271" s="3"/>
      <c r="M271" s="3" t="s">
        <v>21</v>
      </c>
      <c r="N271" s="3">
        <v>1</v>
      </c>
      <c r="O271" s="3" t="s">
        <v>15</v>
      </c>
      <c r="P271" s="3"/>
      <c r="Q271" s="3" t="s">
        <v>395</v>
      </c>
      <c r="R271" s="3" t="s">
        <v>346</v>
      </c>
    </row>
    <row r="272" spans="2:18" s="2" customFormat="1" ht="18" customHeight="1" x14ac:dyDescent="0.2">
      <c r="B272" s="12">
        <f t="shared" si="19"/>
        <v>255</v>
      </c>
      <c r="C272" s="3" t="s">
        <v>16</v>
      </c>
      <c r="D272" s="3">
        <v>3402836</v>
      </c>
      <c r="E272" s="20" t="str">
        <f t="shared" si="20"/>
        <v>3402836</v>
      </c>
      <c r="F272" s="3" t="s">
        <v>11</v>
      </c>
      <c r="G272" s="3" t="s">
        <v>60</v>
      </c>
      <c r="H272" s="20" t="s">
        <v>422</v>
      </c>
      <c r="I272" s="20"/>
      <c r="J272" s="3" t="s">
        <v>263</v>
      </c>
      <c r="K272" s="3" t="s">
        <v>14</v>
      </c>
      <c r="L272" s="3"/>
      <c r="M272" s="3" t="s">
        <v>21</v>
      </c>
      <c r="N272" s="3">
        <v>1</v>
      </c>
      <c r="O272" s="3" t="s">
        <v>15</v>
      </c>
      <c r="P272" s="3"/>
      <c r="Q272" s="3" t="s">
        <v>395</v>
      </c>
      <c r="R272" s="3" t="s">
        <v>346</v>
      </c>
    </row>
    <row r="273" spans="2:18" s="2" customFormat="1" ht="18" customHeight="1" x14ac:dyDescent="0.2">
      <c r="B273" s="12">
        <f t="shared" si="19"/>
        <v>256</v>
      </c>
      <c r="C273" s="3" t="s">
        <v>16</v>
      </c>
      <c r="D273" s="3">
        <v>3402853</v>
      </c>
      <c r="E273" s="20" t="str">
        <f t="shared" si="20"/>
        <v>3402853</v>
      </c>
      <c r="F273" s="3" t="s">
        <v>11</v>
      </c>
      <c r="G273" s="3" t="s">
        <v>226</v>
      </c>
      <c r="H273" s="20" t="s">
        <v>461</v>
      </c>
      <c r="I273" s="20"/>
      <c r="J273" s="3" t="s">
        <v>291</v>
      </c>
      <c r="K273" s="3" t="s">
        <v>14</v>
      </c>
      <c r="L273" s="3"/>
      <c r="M273" s="3" t="s">
        <v>21</v>
      </c>
      <c r="N273" s="3">
        <v>1</v>
      </c>
      <c r="O273" s="3" t="s">
        <v>15</v>
      </c>
      <c r="P273" s="3"/>
      <c r="Q273" s="3" t="s">
        <v>395</v>
      </c>
      <c r="R273" s="3" t="s">
        <v>346</v>
      </c>
    </row>
    <row r="274" spans="2:18" s="2" customFormat="1" ht="18" customHeight="1" x14ac:dyDescent="0.2">
      <c r="B274" s="12">
        <f t="shared" si="19"/>
        <v>257</v>
      </c>
      <c r="C274" s="3" t="s">
        <v>16</v>
      </c>
      <c r="D274" s="3">
        <v>3402873</v>
      </c>
      <c r="E274" s="20" t="str">
        <f t="shared" si="20"/>
        <v>3402873</v>
      </c>
      <c r="F274" s="3" t="s">
        <v>11</v>
      </c>
      <c r="G274" s="3" t="s">
        <v>60</v>
      </c>
      <c r="H274" s="20" t="s">
        <v>422</v>
      </c>
      <c r="I274" s="20"/>
      <c r="J274" s="3" t="s">
        <v>292</v>
      </c>
      <c r="K274" s="3" t="s">
        <v>14</v>
      </c>
      <c r="L274" s="3"/>
      <c r="M274" s="3" t="s">
        <v>74</v>
      </c>
      <c r="N274" s="3">
        <v>3</v>
      </c>
      <c r="O274" s="3" t="s">
        <v>15</v>
      </c>
      <c r="P274" s="3"/>
      <c r="Q274" s="3" t="s">
        <v>395</v>
      </c>
      <c r="R274" s="3" t="s">
        <v>346</v>
      </c>
    </row>
    <row r="275" spans="2:18" s="2" customFormat="1" ht="18" customHeight="1" x14ac:dyDescent="0.2">
      <c r="B275" s="12">
        <f t="shared" si="19"/>
        <v>258</v>
      </c>
      <c r="C275" s="3" t="s">
        <v>16</v>
      </c>
      <c r="D275" s="3">
        <v>3402930</v>
      </c>
      <c r="E275" s="20" t="str">
        <f t="shared" si="20"/>
        <v>3402930</v>
      </c>
      <c r="F275" s="3" t="s">
        <v>11</v>
      </c>
      <c r="G275" s="3" t="s">
        <v>293</v>
      </c>
      <c r="H275" s="20" t="s">
        <v>480</v>
      </c>
      <c r="I275" s="20"/>
      <c r="J275" s="3" t="s">
        <v>294</v>
      </c>
      <c r="K275" s="3" t="s">
        <v>14</v>
      </c>
      <c r="L275" s="3"/>
      <c r="M275" s="3" t="s">
        <v>21</v>
      </c>
      <c r="N275" s="3">
        <v>1</v>
      </c>
      <c r="O275" s="3" t="s">
        <v>15</v>
      </c>
      <c r="P275" s="3"/>
      <c r="Q275" s="3" t="s">
        <v>395</v>
      </c>
      <c r="R275" s="3" t="s">
        <v>346</v>
      </c>
    </row>
    <row r="276" spans="2:18" s="2" customFormat="1" ht="18" customHeight="1" x14ac:dyDescent="0.2">
      <c r="B276" s="12">
        <f t="shared" si="19"/>
        <v>259</v>
      </c>
      <c r="C276" s="3" t="s">
        <v>16</v>
      </c>
      <c r="D276" s="3">
        <v>3402935</v>
      </c>
      <c r="E276" s="20" t="str">
        <f t="shared" si="20"/>
        <v>3402935</v>
      </c>
      <c r="F276" s="3" t="s">
        <v>11</v>
      </c>
      <c r="G276" s="3" t="s">
        <v>23</v>
      </c>
      <c r="H276" s="20" t="s">
        <v>410</v>
      </c>
      <c r="I276" s="20"/>
      <c r="J276" s="3" t="s">
        <v>259</v>
      </c>
      <c r="K276" s="3" t="s">
        <v>14</v>
      </c>
      <c r="L276" s="3"/>
      <c r="M276" s="3" t="s">
        <v>190</v>
      </c>
      <c r="N276" s="3">
        <v>5</v>
      </c>
      <c r="O276" s="3" t="s">
        <v>15</v>
      </c>
      <c r="P276" s="3"/>
      <c r="Q276" s="3" t="s">
        <v>395</v>
      </c>
      <c r="R276" s="3" t="s">
        <v>346</v>
      </c>
    </row>
    <row r="277" spans="2:18" s="2" customFormat="1" ht="18" customHeight="1" x14ac:dyDescent="0.2">
      <c r="B277" s="12">
        <f t="shared" ref="B277:B308" si="21">B276+1</f>
        <v>260</v>
      </c>
      <c r="C277" s="3" t="s">
        <v>16</v>
      </c>
      <c r="D277" s="3">
        <v>3402936</v>
      </c>
      <c r="E277" s="20" t="str">
        <f t="shared" si="20"/>
        <v>3402936</v>
      </c>
      <c r="F277" s="3" t="s">
        <v>11</v>
      </c>
      <c r="G277" s="3" t="s">
        <v>23</v>
      </c>
      <c r="H277" s="20" t="s">
        <v>410</v>
      </c>
      <c r="I277" s="20"/>
      <c r="J277" s="3" t="s">
        <v>295</v>
      </c>
      <c r="K277" s="3" t="s">
        <v>14</v>
      </c>
      <c r="L277" s="3"/>
      <c r="M277" s="3" t="s">
        <v>21</v>
      </c>
      <c r="N277" s="3">
        <v>1</v>
      </c>
      <c r="O277" s="3" t="s">
        <v>15</v>
      </c>
      <c r="P277" s="3"/>
      <c r="Q277" s="3" t="s">
        <v>395</v>
      </c>
      <c r="R277" s="3" t="s">
        <v>346</v>
      </c>
    </row>
    <row r="278" spans="2:18" s="2" customFormat="1" ht="18" customHeight="1" x14ac:dyDescent="0.2">
      <c r="B278" s="12">
        <f t="shared" si="21"/>
        <v>261</v>
      </c>
      <c r="C278" s="3" t="s">
        <v>16</v>
      </c>
      <c r="D278" s="3">
        <v>400000508</v>
      </c>
      <c r="E278" s="20" t="str">
        <f t="shared" si="20"/>
        <v>400000508</v>
      </c>
      <c r="F278" s="3" t="s">
        <v>11</v>
      </c>
      <c r="G278" s="3" t="s">
        <v>23</v>
      </c>
      <c r="H278" s="20" t="s">
        <v>410</v>
      </c>
      <c r="I278" s="20"/>
      <c r="J278" s="3" t="s">
        <v>296</v>
      </c>
      <c r="K278" s="3" t="s">
        <v>14</v>
      </c>
      <c r="L278" s="3"/>
      <c r="M278" s="3" t="s">
        <v>55</v>
      </c>
      <c r="N278" s="3">
        <v>4</v>
      </c>
      <c r="O278" s="3" t="s">
        <v>15</v>
      </c>
      <c r="P278" s="3"/>
      <c r="Q278" s="3" t="s">
        <v>395</v>
      </c>
      <c r="R278" s="3" t="s">
        <v>346</v>
      </c>
    </row>
    <row r="279" spans="2:18" s="2" customFormat="1" ht="18" customHeight="1" x14ac:dyDescent="0.2">
      <c r="B279" s="12">
        <f t="shared" si="21"/>
        <v>262</v>
      </c>
      <c r="C279" s="3" t="s">
        <v>16</v>
      </c>
      <c r="D279" s="3">
        <v>400000566</v>
      </c>
      <c r="E279" s="20" t="str">
        <f t="shared" si="20"/>
        <v>400000566</v>
      </c>
      <c r="F279" s="3" t="s">
        <v>11</v>
      </c>
      <c r="G279" s="3" t="s">
        <v>23</v>
      </c>
      <c r="H279" s="20" t="s">
        <v>410</v>
      </c>
      <c r="I279" s="20"/>
      <c r="J279" s="3" t="s">
        <v>297</v>
      </c>
      <c r="K279" s="3" t="s">
        <v>14</v>
      </c>
      <c r="L279" s="3"/>
      <c r="M279" s="3" t="s">
        <v>200</v>
      </c>
      <c r="N279" s="3">
        <v>6</v>
      </c>
      <c r="O279" s="3" t="s">
        <v>15</v>
      </c>
      <c r="P279" s="3"/>
      <c r="Q279" s="3" t="s">
        <v>395</v>
      </c>
      <c r="R279" s="3" t="s">
        <v>346</v>
      </c>
    </row>
    <row r="280" spans="2:18" s="2" customFormat="1" ht="18" customHeight="1" x14ac:dyDescent="0.2">
      <c r="B280" s="12">
        <f t="shared" si="21"/>
        <v>263</v>
      </c>
      <c r="C280" s="20" t="s">
        <v>16</v>
      </c>
      <c r="D280" s="20">
        <v>4001168</v>
      </c>
      <c r="E280" s="20" t="str">
        <f t="shared" si="20"/>
        <v>4001168</v>
      </c>
      <c r="F280" s="20" t="s">
        <v>11</v>
      </c>
      <c r="G280" s="20" t="s">
        <v>298</v>
      </c>
      <c r="H280" s="20" t="s">
        <v>481</v>
      </c>
      <c r="I280" s="20"/>
      <c r="J280" s="20" t="s">
        <v>299</v>
      </c>
      <c r="K280" s="20" t="s">
        <v>14</v>
      </c>
      <c r="L280" s="20"/>
      <c r="M280" s="20" t="s">
        <v>132</v>
      </c>
      <c r="N280" s="20">
        <v>8</v>
      </c>
      <c r="O280" s="20" t="s">
        <v>15</v>
      </c>
      <c r="P280" s="20"/>
      <c r="Q280" s="20" t="s">
        <v>395</v>
      </c>
      <c r="R280" s="20" t="s">
        <v>346</v>
      </c>
    </row>
    <row r="281" spans="2:18" s="2" customFormat="1" ht="18" customHeight="1" x14ac:dyDescent="0.2">
      <c r="B281" s="12">
        <f t="shared" si="21"/>
        <v>264</v>
      </c>
      <c r="C281" s="3" t="s">
        <v>16</v>
      </c>
      <c r="D281" s="3">
        <v>4001170</v>
      </c>
      <c r="E281" s="20" t="str">
        <f t="shared" si="20"/>
        <v>4001170</v>
      </c>
      <c r="F281" s="3" t="s">
        <v>11</v>
      </c>
      <c r="G281" s="3" t="s">
        <v>300</v>
      </c>
      <c r="H281" s="20" t="s">
        <v>482</v>
      </c>
      <c r="I281" s="20"/>
      <c r="J281" s="3" t="s">
        <v>301</v>
      </c>
      <c r="K281" s="3" t="s">
        <v>14</v>
      </c>
      <c r="L281" s="3"/>
      <c r="M281" s="3" t="s">
        <v>55</v>
      </c>
      <c r="N281" s="3">
        <v>4</v>
      </c>
      <c r="O281" s="3" t="s">
        <v>15</v>
      </c>
      <c r="P281" s="3"/>
      <c r="Q281" s="3" t="s">
        <v>395</v>
      </c>
      <c r="R281" s="3" t="s">
        <v>346</v>
      </c>
    </row>
    <row r="282" spans="2:18" s="2" customFormat="1" ht="18" customHeight="1" x14ac:dyDescent="0.2">
      <c r="B282" s="19">
        <f t="shared" si="21"/>
        <v>265</v>
      </c>
      <c r="C282" s="18" t="s">
        <v>16</v>
      </c>
      <c r="D282" s="18">
        <v>440000185</v>
      </c>
      <c r="E282" s="18" t="str">
        <f t="shared" si="20"/>
        <v>440000185</v>
      </c>
      <c r="F282" s="18" t="s">
        <v>11</v>
      </c>
      <c r="G282" s="18" t="s">
        <v>302</v>
      </c>
      <c r="H282" s="18" t="s">
        <v>483</v>
      </c>
      <c r="I282" s="18" t="s">
        <v>512</v>
      </c>
      <c r="J282" s="18" t="s">
        <v>303</v>
      </c>
      <c r="K282" s="18" t="s">
        <v>14</v>
      </c>
      <c r="L282" s="18"/>
      <c r="M282" s="18" t="s">
        <v>18</v>
      </c>
      <c r="N282" s="18">
        <v>2</v>
      </c>
      <c r="O282" s="18" t="s">
        <v>38</v>
      </c>
      <c r="P282" s="18"/>
      <c r="Q282" s="18" t="s">
        <v>395</v>
      </c>
      <c r="R282" s="18" t="s">
        <v>346</v>
      </c>
    </row>
    <row r="283" spans="2:18" s="2" customFormat="1" ht="18" customHeight="1" x14ac:dyDescent="0.2">
      <c r="B283" s="12">
        <f t="shared" si="21"/>
        <v>266</v>
      </c>
      <c r="C283" s="3" t="s">
        <v>16</v>
      </c>
      <c r="D283" s="3">
        <v>440000287</v>
      </c>
      <c r="E283" s="20" t="str">
        <f t="shared" si="20"/>
        <v>440000287</v>
      </c>
      <c r="F283" s="3" t="s">
        <v>11</v>
      </c>
      <c r="G283" s="3" t="s">
        <v>304</v>
      </c>
      <c r="H283" s="20" t="s">
        <v>484</v>
      </c>
      <c r="I283" s="20"/>
      <c r="J283" s="3" t="s">
        <v>390</v>
      </c>
      <c r="K283" s="3" t="s">
        <v>14</v>
      </c>
      <c r="L283" s="3"/>
      <c r="M283" s="3" t="s">
        <v>55</v>
      </c>
      <c r="N283" s="3">
        <v>4</v>
      </c>
      <c r="O283" s="3" t="s">
        <v>15</v>
      </c>
      <c r="P283" s="3"/>
      <c r="Q283" s="3" t="s">
        <v>395</v>
      </c>
      <c r="R283" s="3" t="s">
        <v>346</v>
      </c>
    </row>
    <row r="284" spans="2:18" s="2" customFormat="1" ht="18" customHeight="1" x14ac:dyDescent="0.2">
      <c r="B284" s="12">
        <f t="shared" si="21"/>
        <v>267</v>
      </c>
      <c r="C284" s="3" t="s">
        <v>16</v>
      </c>
      <c r="D284" s="3">
        <v>4400029</v>
      </c>
      <c r="E284" s="20" t="str">
        <f t="shared" si="20"/>
        <v>4400029</v>
      </c>
      <c r="F284" s="3" t="s">
        <v>11</v>
      </c>
      <c r="G284" s="3" t="s">
        <v>305</v>
      </c>
      <c r="H284" s="20" t="s">
        <v>485</v>
      </c>
      <c r="I284" s="20"/>
      <c r="J284" s="3" t="s">
        <v>370</v>
      </c>
      <c r="K284" s="3" t="s">
        <v>14</v>
      </c>
      <c r="L284" s="3"/>
      <c r="M284" s="3" t="s">
        <v>200</v>
      </c>
      <c r="N284" s="3">
        <v>6</v>
      </c>
      <c r="O284" s="3" t="s">
        <v>15</v>
      </c>
      <c r="P284" s="3"/>
      <c r="Q284" s="3" t="s">
        <v>395</v>
      </c>
      <c r="R284" s="3" t="s">
        <v>346</v>
      </c>
    </row>
    <row r="285" spans="2:18" s="2" customFormat="1" ht="18" customHeight="1" x14ac:dyDescent="0.2">
      <c r="B285" s="19">
        <f t="shared" si="21"/>
        <v>268</v>
      </c>
      <c r="C285" s="18" t="s">
        <v>16</v>
      </c>
      <c r="D285" s="18">
        <v>4400033</v>
      </c>
      <c r="E285" s="18" t="str">
        <f t="shared" si="20"/>
        <v>4400033</v>
      </c>
      <c r="F285" s="18" t="s">
        <v>11</v>
      </c>
      <c r="G285" s="18" t="s">
        <v>293</v>
      </c>
      <c r="H285" s="18" t="s">
        <v>482</v>
      </c>
      <c r="I285" s="18" t="s">
        <v>530</v>
      </c>
      <c r="J285" s="18" t="s">
        <v>347</v>
      </c>
      <c r="K285" s="18" t="s">
        <v>14</v>
      </c>
      <c r="L285" s="18"/>
      <c r="M285" s="18" t="s">
        <v>200</v>
      </c>
      <c r="N285" s="18">
        <v>6</v>
      </c>
      <c r="O285" s="18" t="s">
        <v>38</v>
      </c>
      <c r="P285" s="18"/>
      <c r="Q285" s="18" t="s">
        <v>395</v>
      </c>
      <c r="R285" s="18" t="s">
        <v>346</v>
      </c>
    </row>
    <row r="286" spans="2:18" s="2" customFormat="1" ht="18" customHeight="1" x14ac:dyDescent="0.2">
      <c r="B286" s="12">
        <f t="shared" si="21"/>
        <v>269</v>
      </c>
      <c r="C286" s="3" t="s">
        <v>16</v>
      </c>
      <c r="D286" s="3">
        <v>4400035</v>
      </c>
      <c r="E286" s="20" t="str">
        <f t="shared" si="20"/>
        <v>4400035</v>
      </c>
      <c r="F286" s="3" t="s">
        <v>11</v>
      </c>
      <c r="G286" s="3" t="s">
        <v>306</v>
      </c>
      <c r="H286" s="20" t="s">
        <v>486</v>
      </c>
      <c r="I286" s="20"/>
      <c r="J286" s="3" t="s">
        <v>348</v>
      </c>
      <c r="K286" s="3" t="s">
        <v>14</v>
      </c>
      <c r="L286" s="3"/>
      <c r="M286" s="3" t="s">
        <v>200</v>
      </c>
      <c r="N286" s="3">
        <v>6</v>
      </c>
      <c r="O286" s="3" t="s">
        <v>15</v>
      </c>
      <c r="P286" s="3"/>
      <c r="Q286" s="3" t="s">
        <v>395</v>
      </c>
      <c r="R286" s="3" t="s">
        <v>346</v>
      </c>
    </row>
    <row r="287" spans="2:18" s="2" customFormat="1" ht="18" customHeight="1" x14ac:dyDescent="0.2">
      <c r="B287" s="12">
        <f t="shared" si="21"/>
        <v>270</v>
      </c>
      <c r="C287" s="3" t="s">
        <v>16</v>
      </c>
      <c r="D287" s="3">
        <v>4400074</v>
      </c>
      <c r="E287" s="20" t="str">
        <f t="shared" si="20"/>
        <v>4400074</v>
      </c>
      <c r="F287" s="3" t="s">
        <v>11</v>
      </c>
      <c r="G287" s="3" t="s">
        <v>32</v>
      </c>
      <c r="H287" s="20" t="s">
        <v>413</v>
      </c>
      <c r="I287" s="20"/>
      <c r="J287" s="3" t="s">
        <v>307</v>
      </c>
      <c r="K287" s="3" t="s">
        <v>14</v>
      </c>
      <c r="L287" s="3"/>
      <c r="M287" s="3" t="s">
        <v>55</v>
      </c>
      <c r="N287" s="3">
        <v>4</v>
      </c>
      <c r="O287" s="3" t="s">
        <v>15</v>
      </c>
      <c r="P287" s="3"/>
      <c r="Q287" s="3" t="s">
        <v>395</v>
      </c>
      <c r="R287" s="3" t="s">
        <v>346</v>
      </c>
    </row>
    <row r="288" spans="2:18" s="2" customFormat="1" ht="18" customHeight="1" x14ac:dyDescent="0.2">
      <c r="B288" s="12">
        <f t="shared" si="21"/>
        <v>271</v>
      </c>
      <c r="C288" s="3" t="s">
        <v>16</v>
      </c>
      <c r="D288" s="3">
        <v>4400092</v>
      </c>
      <c r="E288" s="20" t="str">
        <f t="shared" si="20"/>
        <v>4400092</v>
      </c>
      <c r="F288" s="3" t="s">
        <v>11</v>
      </c>
      <c r="G288" s="3" t="s">
        <v>50</v>
      </c>
      <c r="H288" s="20" t="s">
        <v>417</v>
      </c>
      <c r="I288" s="20"/>
      <c r="J288" s="3" t="s">
        <v>308</v>
      </c>
      <c r="K288" s="3" t="s">
        <v>14</v>
      </c>
      <c r="L288" s="3"/>
      <c r="M288" s="3" t="s">
        <v>132</v>
      </c>
      <c r="N288" s="3">
        <v>8</v>
      </c>
      <c r="O288" s="3" t="s">
        <v>15</v>
      </c>
      <c r="P288" s="3"/>
      <c r="Q288" s="3" t="s">
        <v>395</v>
      </c>
      <c r="R288" s="3" t="s">
        <v>346</v>
      </c>
    </row>
    <row r="289" spans="2:18" s="2" customFormat="1" ht="18" customHeight="1" x14ac:dyDescent="0.2">
      <c r="B289" s="12">
        <f t="shared" si="21"/>
        <v>272</v>
      </c>
      <c r="C289" s="3" t="s">
        <v>16</v>
      </c>
      <c r="D289" s="3">
        <v>4400138</v>
      </c>
      <c r="E289" s="20" t="str">
        <f t="shared" si="20"/>
        <v>4400138</v>
      </c>
      <c r="F289" s="3" t="s">
        <v>11</v>
      </c>
      <c r="G289" s="3" t="s">
        <v>309</v>
      </c>
      <c r="H289" s="20" t="s">
        <v>487</v>
      </c>
      <c r="I289" s="20"/>
      <c r="J289" s="3" t="s">
        <v>310</v>
      </c>
      <c r="K289" s="3" t="s">
        <v>14</v>
      </c>
      <c r="L289" s="3"/>
      <c r="M289" s="3" t="s">
        <v>200</v>
      </c>
      <c r="N289" s="3">
        <v>6</v>
      </c>
      <c r="O289" s="3" t="s">
        <v>15</v>
      </c>
      <c r="P289" s="3"/>
      <c r="Q289" s="3" t="s">
        <v>395</v>
      </c>
      <c r="R289" s="3" t="s">
        <v>346</v>
      </c>
    </row>
    <row r="290" spans="2:18" s="2" customFormat="1" ht="18" customHeight="1" x14ac:dyDescent="0.2">
      <c r="B290" s="12">
        <f t="shared" si="21"/>
        <v>273</v>
      </c>
      <c r="C290" s="3" t="s">
        <v>16</v>
      </c>
      <c r="D290" s="3">
        <v>4400142</v>
      </c>
      <c r="E290" s="20" t="str">
        <f t="shared" si="20"/>
        <v>4400142</v>
      </c>
      <c r="F290" s="3" t="s">
        <v>11</v>
      </c>
      <c r="G290" s="3" t="s">
        <v>305</v>
      </c>
      <c r="H290" s="20" t="s">
        <v>485</v>
      </c>
      <c r="I290" s="20"/>
      <c r="J290" s="3" t="s">
        <v>311</v>
      </c>
      <c r="K290" s="3" t="s">
        <v>14</v>
      </c>
      <c r="L290" s="3"/>
      <c r="M290" s="3" t="s">
        <v>21</v>
      </c>
      <c r="N290" s="3">
        <v>1</v>
      </c>
      <c r="O290" s="3" t="s">
        <v>15</v>
      </c>
      <c r="P290" s="3"/>
      <c r="Q290" s="3" t="s">
        <v>395</v>
      </c>
      <c r="R290" s="3" t="s">
        <v>346</v>
      </c>
    </row>
    <row r="291" spans="2:18" s="2" customFormat="1" ht="18" customHeight="1" x14ac:dyDescent="0.2">
      <c r="B291" s="12">
        <f t="shared" si="21"/>
        <v>274</v>
      </c>
      <c r="C291" s="3" t="s">
        <v>16</v>
      </c>
      <c r="D291" s="3">
        <v>4400154</v>
      </c>
      <c r="E291" s="20" t="str">
        <f t="shared" si="20"/>
        <v>4400154</v>
      </c>
      <c r="F291" s="3" t="s">
        <v>11</v>
      </c>
      <c r="G291" s="3" t="s">
        <v>306</v>
      </c>
      <c r="H291" s="20" t="s">
        <v>486</v>
      </c>
      <c r="I291" s="20"/>
      <c r="J291" s="3" t="s">
        <v>312</v>
      </c>
      <c r="K291" s="3" t="s">
        <v>14</v>
      </c>
      <c r="L291" s="3"/>
      <c r="M291" s="3" t="s">
        <v>209</v>
      </c>
      <c r="N291" s="3">
        <v>16</v>
      </c>
      <c r="O291" s="3" t="s">
        <v>15</v>
      </c>
      <c r="P291" s="3"/>
      <c r="Q291" s="3" t="s">
        <v>395</v>
      </c>
      <c r="R291" s="3" t="s">
        <v>346</v>
      </c>
    </row>
    <row r="292" spans="2:18" s="2" customFormat="1" ht="18" customHeight="1" x14ac:dyDescent="0.2">
      <c r="B292" s="12">
        <f t="shared" si="21"/>
        <v>275</v>
      </c>
      <c r="C292" s="3" t="s">
        <v>16</v>
      </c>
      <c r="D292" s="3">
        <v>4400211</v>
      </c>
      <c r="E292" s="20" t="str">
        <f t="shared" si="20"/>
        <v>4400211</v>
      </c>
      <c r="F292" s="3" t="s">
        <v>11</v>
      </c>
      <c r="G292" s="3" t="s">
        <v>50</v>
      </c>
      <c r="H292" s="20" t="s">
        <v>417</v>
      </c>
      <c r="I292" s="20"/>
      <c r="J292" s="3" t="s">
        <v>313</v>
      </c>
      <c r="K292" s="3" t="s">
        <v>14</v>
      </c>
      <c r="L292" s="3"/>
      <c r="M292" s="3" t="s">
        <v>209</v>
      </c>
      <c r="N292" s="3">
        <v>16</v>
      </c>
      <c r="O292" s="3" t="s">
        <v>15</v>
      </c>
      <c r="P292" s="3"/>
      <c r="Q292" s="3" t="s">
        <v>395</v>
      </c>
      <c r="R292" s="3" t="s">
        <v>346</v>
      </c>
    </row>
    <row r="293" spans="2:18" s="2" customFormat="1" ht="18" customHeight="1" x14ac:dyDescent="0.2">
      <c r="B293" s="12">
        <f t="shared" si="21"/>
        <v>276</v>
      </c>
      <c r="C293" s="3" t="s">
        <v>16</v>
      </c>
      <c r="D293" s="3">
        <v>4400302</v>
      </c>
      <c r="E293" s="20" t="str">
        <f t="shared" si="20"/>
        <v>4400302</v>
      </c>
      <c r="F293" s="3" t="s">
        <v>11</v>
      </c>
      <c r="G293" s="3" t="s">
        <v>314</v>
      </c>
      <c r="H293" s="20" t="s">
        <v>488</v>
      </c>
      <c r="I293" s="20"/>
      <c r="J293" s="3" t="s">
        <v>315</v>
      </c>
      <c r="K293" s="3" t="s">
        <v>14</v>
      </c>
      <c r="L293" s="3"/>
      <c r="M293" s="3" t="s">
        <v>132</v>
      </c>
      <c r="N293" s="3">
        <v>8</v>
      </c>
      <c r="O293" s="3" t="s">
        <v>15</v>
      </c>
      <c r="P293" s="3"/>
      <c r="Q293" s="3" t="s">
        <v>395</v>
      </c>
      <c r="R293" s="3" t="s">
        <v>346</v>
      </c>
    </row>
    <row r="294" spans="2:18" s="2" customFormat="1" ht="18" customHeight="1" x14ac:dyDescent="0.2">
      <c r="B294" s="12">
        <f t="shared" si="21"/>
        <v>277</v>
      </c>
      <c r="C294" s="3" t="s">
        <v>16</v>
      </c>
      <c r="D294" s="3">
        <v>4400340</v>
      </c>
      <c r="E294" s="20" t="str">
        <f t="shared" si="20"/>
        <v>4400340</v>
      </c>
      <c r="F294" s="3" t="s">
        <v>11</v>
      </c>
      <c r="G294" s="3" t="s">
        <v>50</v>
      </c>
      <c r="H294" s="20" t="s">
        <v>417</v>
      </c>
      <c r="I294" s="20"/>
      <c r="J294" s="3" t="s">
        <v>316</v>
      </c>
      <c r="K294" s="3" t="s">
        <v>14</v>
      </c>
      <c r="L294" s="3"/>
      <c r="M294" s="3" t="s">
        <v>132</v>
      </c>
      <c r="N294" s="3">
        <v>8</v>
      </c>
      <c r="O294" s="3" t="s">
        <v>15</v>
      </c>
      <c r="P294" s="3"/>
      <c r="Q294" s="3" t="s">
        <v>395</v>
      </c>
      <c r="R294" s="3" t="s">
        <v>346</v>
      </c>
    </row>
    <row r="295" spans="2:18" s="2" customFormat="1" ht="18" customHeight="1" x14ac:dyDescent="0.2">
      <c r="B295" s="12">
        <f t="shared" si="21"/>
        <v>278</v>
      </c>
      <c r="C295" s="3" t="s">
        <v>16</v>
      </c>
      <c r="D295" s="3">
        <v>4400935</v>
      </c>
      <c r="E295" s="20" t="str">
        <f t="shared" si="20"/>
        <v>4400935</v>
      </c>
      <c r="F295" s="3" t="s">
        <v>11</v>
      </c>
      <c r="G295" s="3" t="s">
        <v>317</v>
      </c>
      <c r="H295" s="20" t="s">
        <v>489</v>
      </c>
      <c r="I295" s="20"/>
      <c r="J295" s="3" t="s">
        <v>318</v>
      </c>
      <c r="K295" s="3" t="s">
        <v>14</v>
      </c>
      <c r="L295" s="3"/>
      <c r="M295" s="3" t="s">
        <v>200</v>
      </c>
      <c r="N295" s="3">
        <v>6</v>
      </c>
      <c r="O295" s="3" t="s">
        <v>15</v>
      </c>
      <c r="P295" s="3"/>
      <c r="Q295" s="3" t="s">
        <v>395</v>
      </c>
      <c r="R295" s="3" t="s">
        <v>346</v>
      </c>
    </row>
    <row r="296" spans="2:18" s="2" customFormat="1" ht="18" customHeight="1" x14ac:dyDescent="0.2">
      <c r="B296" s="12">
        <f t="shared" si="21"/>
        <v>279</v>
      </c>
      <c r="C296" s="3" t="s">
        <v>16</v>
      </c>
      <c r="D296" s="3">
        <v>4401050</v>
      </c>
      <c r="E296" s="20" t="str">
        <f t="shared" si="20"/>
        <v>4401050</v>
      </c>
      <c r="F296" s="3" t="s">
        <v>11</v>
      </c>
      <c r="G296" s="3" t="s">
        <v>319</v>
      </c>
      <c r="H296" s="20" t="s">
        <v>490</v>
      </c>
      <c r="I296" s="20"/>
      <c r="J296" s="3" t="s">
        <v>320</v>
      </c>
      <c r="K296" s="3" t="s">
        <v>14</v>
      </c>
      <c r="L296" s="3"/>
      <c r="M296" s="3" t="s">
        <v>18</v>
      </c>
      <c r="N296" s="3">
        <v>2</v>
      </c>
      <c r="O296" s="3" t="s">
        <v>15</v>
      </c>
      <c r="P296" s="3"/>
      <c r="Q296" s="3" t="s">
        <v>395</v>
      </c>
      <c r="R296" s="3" t="s">
        <v>346</v>
      </c>
    </row>
    <row r="297" spans="2:18" s="2" customFormat="1" ht="18" customHeight="1" x14ac:dyDescent="0.2">
      <c r="B297" s="12">
        <f t="shared" si="21"/>
        <v>280</v>
      </c>
      <c r="C297" s="3" t="s">
        <v>16</v>
      </c>
      <c r="D297" s="3" t="s">
        <v>349</v>
      </c>
      <c r="E297" s="20" t="str">
        <f t="shared" si="20"/>
        <v>44S0019</v>
      </c>
      <c r="F297" s="3" t="s">
        <v>11</v>
      </c>
      <c r="G297" s="3" t="s">
        <v>321</v>
      </c>
      <c r="H297" s="20" t="s">
        <v>483</v>
      </c>
      <c r="I297" s="20"/>
      <c r="J297" s="3" t="s">
        <v>322</v>
      </c>
      <c r="K297" s="3" t="s">
        <v>14</v>
      </c>
      <c r="L297" s="3"/>
      <c r="M297" s="3" t="s">
        <v>55</v>
      </c>
      <c r="N297" s="3">
        <v>4</v>
      </c>
      <c r="O297" s="3" t="s">
        <v>15</v>
      </c>
      <c r="P297" s="3"/>
      <c r="Q297" s="3" t="s">
        <v>395</v>
      </c>
      <c r="R297" s="3" t="s">
        <v>346</v>
      </c>
    </row>
    <row r="298" spans="2:18" s="2" customFormat="1" ht="18" customHeight="1" x14ac:dyDescent="0.2">
      <c r="B298" s="12">
        <f t="shared" si="21"/>
        <v>281</v>
      </c>
      <c r="C298" s="3" t="s">
        <v>16</v>
      </c>
      <c r="D298" s="3">
        <v>4500056</v>
      </c>
      <c r="E298" s="20" t="str">
        <f t="shared" si="20"/>
        <v>4500056</v>
      </c>
      <c r="F298" s="3" t="s">
        <v>11</v>
      </c>
      <c r="G298" s="3" t="s">
        <v>186</v>
      </c>
      <c r="H298" s="20" t="s">
        <v>456</v>
      </c>
      <c r="I298" s="20"/>
      <c r="J298" s="3" t="s">
        <v>323</v>
      </c>
      <c r="K298" s="3" t="s">
        <v>14</v>
      </c>
      <c r="L298" s="3"/>
      <c r="M298" s="3" t="s">
        <v>200</v>
      </c>
      <c r="N298" s="3">
        <v>6</v>
      </c>
      <c r="O298" s="3" t="s">
        <v>15</v>
      </c>
      <c r="P298" s="3"/>
      <c r="Q298" s="3" t="s">
        <v>395</v>
      </c>
      <c r="R298" s="3" t="s">
        <v>346</v>
      </c>
    </row>
    <row r="299" spans="2:18" s="2" customFormat="1" ht="18" customHeight="1" x14ac:dyDescent="0.2">
      <c r="B299" s="12">
        <f t="shared" si="21"/>
        <v>282</v>
      </c>
      <c r="C299" s="3" t="s">
        <v>16</v>
      </c>
      <c r="D299" s="3">
        <v>4500089</v>
      </c>
      <c r="E299" s="20" t="str">
        <f t="shared" si="20"/>
        <v>4500089</v>
      </c>
      <c r="F299" s="3" t="s">
        <v>11</v>
      </c>
      <c r="G299" s="3" t="s">
        <v>146</v>
      </c>
      <c r="H299" s="20" t="s">
        <v>444</v>
      </c>
      <c r="I299" s="20"/>
      <c r="J299" s="3" t="s">
        <v>324</v>
      </c>
      <c r="K299" s="3" t="s">
        <v>14</v>
      </c>
      <c r="L299" s="3"/>
      <c r="M299" s="3" t="s">
        <v>18</v>
      </c>
      <c r="N299" s="3">
        <v>2</v>
      </c>
      <c r="O299" s="3" t="s">
        <v>15</v>
      </c>
      <c r="P299" s="3"/>
      <c r="Q299" s="3" t="s">
        <v>395</v>
      </c>
      <c r="R299" s="3" t="s">
        <v>346</v>
      </c>
    </row>
    <row r="300" spans="2:18" s="2" customFormat="1" ht="18" customHeight="1" x14ac:dyDescent="0.2">
      <c r="B300" s="12">
        <f t="shared" si="21"/>
        <v>283</v>
      </c>
      <c r="C300" s="3" t="s">
        <v>16</v>
      </c>
      <c r="D300" s="3">
        <v>4600075</v>
      </c>
      <c r="E300" s="20" t="str">
        <f t="shared" si="20"/>
        <v>4600075</v>
      </c>
      <c r="F300" s="3" t="s">
        <v>11</v>
      </c>
      <c r="G300" s="3" t="s">
        <v>325</v>
      </c>
      <c r="H300" s="20" t="s">
        <v>491</v>
      </c>
      <c r="I300" s="20"/>
      <c r="J300" s="3" t="s">
        <v>326</v>
      </c>
      <c r="K300" s="3" t="s">
        <v>14</v>
      </c>
      <c r="L300" s="3"/>
      <c r="M300" s="3" t="s">
        <v>55</v>
      </c>
      <c r="N300" s="3">
        <v>4</v>
      </c>
      <c r="O300" s="3" t="s">
        <v>15</v>
      </c>
      <c r="P300" s="3"/>
      <c r="Q300" s="3" t="s">
        <v>395</v>
      </c>
      <c r="R300" s="3" t="s">
        <v>346</v>
      </c>
    </row>
    <row r="301" spans="2:18" s="2" customFormat="1" ht="18" customHeight="1" x14ac:dyDescent="0.2">
      <c r="B301" s="12">
        <f t="shared" si="21"/>
        <v>284</v>
      </c>
      <c r="C301" s="3" t="s">
        <v>16</v>
      </c>
      <c r="D301" s="3">
        <v>5000471</v>
      </c>
      <c r="E301" s="20" t="str">
        <f t="shared" si="20"/>
        <v>5000471</v>
      </c>
      <c r="F301" s="3" t="s">
        <v>11</v>
      </c>
      <c r="G301" s="3" t="s">
        <v>180</v>
      </c>
      <c r="H301" s="20" t="s">
        <v>453</v>
      </c>
      <c r="I301" s="20"/>
      <c r="J301" s="3" t="s">
        <v>181</v>
      </c>
      <c r="K301" s="3" t="s">
        <v>14</v>
      </c>
      <c r="L301" s="3"/>
      <c r="M301" s="3" t="s">
        <v>327</v>
      </c>
      <c r="N301" s="3">
        <v>9</v>
      </c>
      <c r="O301" s="3" t="s">
        <v>15</v>
      </c>
      <c r="P301" s="3"/>
      <c r="Q301" s="3" t="s">
        <v>395</v>
      </c>
      <c r="R301" s="3" t="s">
        <v>346</v>
      </c>
    </row>
    <row r="302" spans="2:18" s="2" customFormat="1" ht="18" customHeight="1" x14ac:dyDescent="0.2">
      <c r="B302" s="12">
        <f t="shared" si="21"/>
        <v>285</v>
      </c>
      <c r="C302" s="3" t="s">
        <v>16</v>
      </c>
      <c r="D302" s="3">
        <v>5000473</v>
      </c>
      <c r="E302" s="20" t="str">
        <f t="shared" ref="E302:E314" si="22">TRIM(D302)</f>
        <v>5000473</v>
      </c>
      <c r="F302" s="3" t="s">
        <v>11</v>
      </c>
      <c r="G302" s="3" t="s">
        <v>328</v>
      </c>
      <c r="H302" s="20" t="s">
        <v>492</v>
      </c>
      <c r="I302" s="20"/>
      <c r="J302" s="3" t="s">
        <v>329</v>
      </c>
      <c r="K302" s="3" t="s">
        <v>14</v>
      </c>
      <c r="L302" s="3"/>
      <c r="M302" s="3" t="s">
        <v>200</v>
      </c>
      <c r="N302" s="3">
        <v>6</v>
      </c>
      <c r="O302" s="3" t="s">
        <v>15</v>
      </c>
      <c r="P302" s="3"/>
      <c r="Q302" s="3" t="s">
        <v>395</v>
      </c>
      <c r="R302" s="3" t="s">
        <v>346</v>
      </c>
    </row>
    <row r="303" spans="2:18" s="2" customFormat="1" ht="18" customHeight="1" x14ac:dyDescent="0.2">
      <c r="B303" s="12">
        <f t="shared" si="21"/>
        <v>286</v>
      </c>
      <c r="C303" s="3" t="s">
        <v>16</v>
      </c>
      <c r="D303" s="3">
        <v>5000604</v>
      </c>
      <c r="E303" s="20" t="str">
        <f t="shared" si="22"/>
        <v>5000604</v>
      </c>
      <c r="F303" s="3" t="s">
        <v>11</v>
      </c>
      <c r="G303" s="3" t="s">
        <v>23</v>
      </c>
      <c r="H303" s="20" t="s">
        <v>410</v>
      </c>
      <c r="I303" s="20"/>
      <c r="J303" s="3" t="s">
        <v>351</v>
      </c>
      <c r="K303" s="3" t="s">
        <v>14</v>
      </c>
      <c r="L303" s="3"/>
      <c r="M303" s="3" t="s">
        <v>330</v>
      </c>
      <c r="N303" s="3">
        <v>15</v>
      </c>
      <c r="O303" s="3" t="s">
        <v>15</v>
      </c>
      <c r="P303" s="3"/>
      <c r="Q303" s="3" t="s">
        <v>395</v>
      </c>
      <c r="R303" s="3" t="s">
        <v>346</v>
      </c>
    </row>
    <row r="304" spans="2:18" s="2" customFormat="1" ht="18" customHeight="1" x14ac:dyDescent="0.2">
      <c r="B304" s="12">
        <f t="shared" si="21"/>
        <v>287</v>
      </c>
      <c r="C304" s="3" t="s">
        <v>16</v>
      </c>
      <c r="D304" s="3">
        <v>7500021</v>
      </c>
      <c r="E304" s="20" t="str">
        <f t="shared" si="22"/>
        <v>7500021</v>
      </c>
      <c r="F304" s="3" t="s">
        <v>11</v>
      </c>
      <c r="G304" s="3" t="s">
        <v>264</v>
      </c>
      <c r="H304" s="20" t="s">
        <v>472</v>
      </c>
      <c r="I304" s="20"/>
      <c r="J304" s="3" t="s">
        <v>265</v>
      </c>
      <c r="K304" s="3" t="s">
        <v>14</v>
      </c>
      <c r="L304" s="3"/>
      <c r="M304" s="3" t="s">
        <v>331</v>
      </c>
      <c r="N304" s="3">
        <v>36</v>
      </c>
      <c r="O304" s="3" t="s">
        <v>15</v>
      </c>
      <c r="P304" s="3"/>
      <c r="Q304" s="3" t="s">
        <v>395</v>
      </c>
      <c r="R304" s="3" t="s">
        <v>346</v>
      </c>
    </row>
    <row r="305" spans="2:18" s="2" customFormat="1" ht="18" customHeight="1" x14ac:dyDescent="0.2">
      <c r="B305" s="12">
        <f t="shared" si="21"/>
        <v>288</v>
      </c>
      <c r="C305" s="3" t="s">
        <v>16</v>
      </c>
      <c r="D305" s="3">
        <v>7500100</v>
      </c>
      <c r="E305" s="20" t="str">
        <f t="shared" si="22"/>
        <v>7500100</v>
      </c>
      <c r="F305" s="3" t="s">
        <v>11</v>
      </c>
      <c r="G305" s="3" t="s">
        <v>332</v>
      </c>
      <c r="H305" s="20" t="s">
        <v>493</v>
      </c>
      <c r="I305" s="20"/>
      <c r="J305" s="3" t="s">
        <v>333</v>
      </c>
      <c r="K305" s="3" t="s">
        <v>14</v>
      </c>
      <c r="L305" s="3"/>
      <c r="M305" s="3" t="s">
        <v>334</v>
      </c>
      <c r="N305" s="3">
        <v>65</v>
      </c>
      <c r="O305" s="3" t="s">
        <v>15</v>
      </c>
      <c r="P305" s="3"/>
      <c r="Q305" s="3" t="s">
        <v>395</v>
      </c>
      <c r="R305" s="3" t="s">
        <v>346</v>
      </c>
    </row>
    <row r="306" spans="2:18" s="2" customFormat="1" ht="18" customHeight="1" x14ac:dyDescent="0.2">
      <c r="B306" s="12">
        <f t="shared" si="21"/>
        <v>289</v>
      </c>
      <c r="C306" s="20" t="s">
        <v>16</v>
      </c>
      <c r="D306" s="20">
        <v>7500158</v>
      </c>
      <c r="E306" s="20" t="str">
        <f t="shared" si="22"/>
        <v>7500158</v>
      </c>
      <c r="F306" s="20" t="s">
        <v>11</v>
      </c>
      <c r="G306" s="20" t="s">
        <v>335</v>
      </c>
      <c r="H306" s="20" t="s">
        <v>494</v>
      </c>
      <c r="I306" s="20"/>
      <c r="J306" s="20" t="s">
        <v>336</v>
      </c>
      <c r="K306" s="20" t="s">
        <v>14</v>
      </c>
      <c r="L306" s="20"/>
      <c r="M306" s="20" t="s">
        <v>337</v>
      </c>
      <c r="N306" s="20">
        <v>80</v>
      </c>
      <c r="O306" s="20" t="s">
        <v>15</v>
      </c>
      <c r="P306" s="20"/>
      <c r="Q306" s="20" t="s">
        <v>395</v>
      </c>
      <c r="R306" s="20" t="s">
        <v>346</v>
      </c>
    </row>
    <row r="307" spans="2:18" s="2" customFormat="1" ht="18" customHeight="1" x14ac:dyDescent="0.2">
      <c r="B307" s="12">
        <f t="shared" si="21"/>
        <v>290</v>
      </c>
      <c r="C307" s="3" t="s">
        <v>16</v>
      </c>
      <c r="D307" s="3">
        <v>7500207</v>
      </c>
      <c r="E307" s="20" t="str">
        <f t="shared" si="22"/>
        <v>7500207</v>
      </c>
      <c r="F307" s="3" t="s">
        <v>11</v>
      </c>
      <c r="G307" s="3" t="s">
        <v>319</v>
      </c>
      <c r="H307" s="20" t="s">
        <v>490</v>
      </c>
      <c r="I307" s="20"/>
      <c r="J307" s="3" t="s">
        <v>386</v>
      </c>
      <c r="K307" s="3" t="s">
        <v>14</v>
      </c>
      <c r="L307" s="3"/>
      <c r="M307" s="3" t="s">
        <v>338</v>
      </c>
      <c r="N307" s="3">
        <v>20</v>
      </c>
      <c r="O307" s="3" t="s">
        <v>15</v>
      </c>
      <c r="P307" s="3"/>
      <c r="Q307" s="3" t="s">
        <v>395</v>
      </c>
      <c r="R307" s="3" t="s">
        <v>346</v>
      </c>
    </row>
    <row r="308" spans="2:18" s="2" customFormat="1" ht="18" customHeight="1" x14ac:dyDescent="0.2">
      <c r="B308" s="12">
        <f t="shared" si="21"/>
        <v>291</v>
      </c>
      <c r="C308" s="3" t="s">
        <v>16</v>
      </c>
      <c r="D308" s="3" t="s">
        <v>350</v>
      </c>
      <c r="E308" s="20" t="str">
        <f t="shared" si="22"/>
        <v>7641-0001-0306</v>
      </c>
      <c r="F308" s="3" t="s">
        <v>11</v>
      </c>
      <c r="G308" s="3" t="s">
        <v>300</v>
      </c>
      <c r="H308" s="20" t="s">
        <v>482</v>
      </c>
      <c r="I308" s="20"/>
      <c r="J308" s="3" t="s">
        <v>339</v>
      </c>
      <c r="K308" s="3" t="s">
        <v>14</v>
      </c>
      <c r="L308" s="3"/>
      <c r="M308" s="3" t="s">
        <v>331</v>
      </c>
      <c r="N308" s="3">
        <v>36</v>
      </c>
      <c r="O308" s="3" t="s">
        <v>15</v>
      </c>
      <c r="P308" s="3"/>
      <c r="Q308" s="3" t="s">
        <v>395</v>
      </c>
      <c r="R308" s="3" t="s">
        <v>346</v>
      </c>
    </row>
    <row r="309" spans="2:18" s="2" customFormat="1" ht="18" customHeight="1" x14ac:dyDescent="0.2">
      <c r="B309" s="12">
        <f t="shared" ref="B309:B314" si="23">B308+1</f>
        <v>292</v>
      </c>
      <c r="C309" s="3" t="s">
        <v>16</v>
      </c>
      <c r="D309" s="3">
        <v>900000755</v>
      </c>
      <c r="E309" s="20" t="str">
        <f t="shared" si="22"/>
        <v>900000755</v>
      </c>
      <c r="F309" s="3" t="s">
        <v>11</v>
      </c>
      <c r="G309" s="3" t="s">
        <v>253</v>
      </c>
      <c r="H309" s="20" t="s">
        <v>469</v>
      </c>
      <c r="I309" s="20"/>
      <c r="J309" s="3" t="s">
        <v>254</v>
      </c>
      <c r="K309" s="3" t="s">
        <v>14</v>
      </c>
      <c r="L309" s="3"/>
      <c r="M309" s="3" t="s">
        <v>25</v>
      </c>
      <c r="N309" s="3">
        <v>0</v>
      </c>
      <c r="O309" s="3" t="s">
        <v>15</v>
      </c>
      <c r="P309" s="3"/>
      <c r="Q309" s="3" t="s">
        <v>395</v>
      </c>
      <c r="R309" s="3" t="s">
        <v>346</v>
      </c>
    </row>
    <row r="310" spans="2:18" s="2" customFormat="1" ht="18" customHeight="1" x14ac:dyDescent="0.2">
      <c r="B310" s="12">
        <f t="shared" si="23"/>
        <v>293</v>
      </c>
      <c r="C310" s="3" t="s">
        <v>16</v>
      </c>
      <c r="D310" s="3">
        <v>900001200</v>
      </c>
      <c r="E310" s="20" t="str">
        <f t="shared" si="22"/>
        <v>900001200</v>
      </c>
      <c r="F310" s="3" t="s">
        <v>11</v>
      </c>
      <c r="G310" s="3" t="s">
        <v>39</v>
      </c>
      <c r="H310" s="20" t="s">
        <v>442</v>
      </c>
      <c r="I310" s="20"/>
      <c r="J310" s="3" t="s">
        <v>340</v>
      </c>
      <c r="K310" s="3" t="s">
        <v>14</v>
      </c>
      <c r="L310" s="3"/>
      <c r="M310" s="3" t="s">
        <v>21</v>
      </c>
      <c r="N310" s="3">
        <v>1</v>
      </c>
      <c r="O310" s="3" t="s">
        <v>38</v>
      </c>
      <c r="P310" s="3"/>
      <c r="Q310" s="3" t="s">
        <v>394</v>
      </c>
      <c r="R310" s="3" t="s">
        <v>360</v>
      </c>
    </row>
    <row r="311" spans="2:18" s="2" customFormat="1" ht="18" customHeight="1" x14ac:dyDescent="0.2">
      <c r="B311" s="12">
        <f t="shared" si="23"/>
        <v>294</v>
      </c>
      <c r="C311" s="3" t="s">
        <v>16</v>
      </c>
      <c r="D311" s="3">
        <v>900001259</v>
      </c>
      <c r="E311" s="20" t="str">
        <f t="shared" si="22"/>
        <v>900001259</v>
      </c>
      <c r="F311" s="3" t="s">
        <v>11</v>
      </c>
      <c r="G311" s="3" t="s">
        <v>255</v>
      </c>
      <c r="H311" s="20" t="s">
        <v>470</v>
      </c>
      <c r="I311" s="20"/>
      <c r="J311" s="3" t="s">
        <v>256</v>
      </c>
      <c r="K311" s="3" t="s">
        <v>14</v>
      </c>
      <c r="L311" s="3"/>
      <c r="M311" s="3" t="s">
        <v>18</v>
      </c>
      <c r="N311" s="3">
        <v>2</v>
      </c>
      <c r="O311" s="3" t="s">
        <v>15</v>
      </c>
      <c r="P311" s="3"/>
      <c r="Q311" s="3" t="s">
        <v>395</v>
      </c>
      <c r="R311" s="3" t="s">
        <v>346</v>
      </c>
    </row>
    <row r="312" spans="2:18" s="2" customFormat="1" ht="18" customHeight="1" x14ac:dyDescent="0.2">
      <c r="B312" s="12">
        <f t="shared" si="23"/>
        <v>295</v>
      </c>
      <c r="C312" s="3" t="s">
        <v>16</v>
      </c>
      <c r="D312" s="3">
        <v>9004416</v>
      </c>
      <c r="E312" s="20" t="str">
        <f t="shared" si="22"/>
        <v>9004416</v>
      </c>
      <c r="F312" s="3" t="s">
        <v>11</v>
      </c>
      <c r="G312" s="3" t="s">
        <v>120</v>
      </c>
      <c r="H312" s="20" t="s">
        <v>437</v>
      </c>
      <c r="I312" s="20"/>
      <c r="J312" s="3" t="s">
        <v>341</v>
      </c>
      <c r="K312" s="3" t="s">
        <v>14</v>
      </c>
      <c r="L312" s="3"/>
      <c r="M312" s="3" t="s">
        <v>25</v>
      </c>
      <c r="N312" s="3">
        <v>0</v>
      </c>
      <c r="O312" s="3" t="s">
        <v>15</v>
      </c>
      <c r="P312" s="3"/>
      <c r="Q312" s="3" t="s">
        <v>395</v>
      </c>
      <c r="R312" s="3" t="s">
        <v>346</v>
      </c>
    </row>
    <row r="313" spans="2:18" s="2" customFormat="1" ht="18" customHeight="1" x14ac:dyDescent="0.2">
      <c r="B313" s="12">
        <f t="shared" si="23"/>
        <v>296</v>
      </c>
      <c r="C313" s="3" t="s">
        <v>16</v>
      </c>
      <c r="D313" s="3">
        <v>9004417</v>
      </c>
      <c r="E313" s="20" t="str">
        <f t="shared" si="22"/>
        <v>9004417</v>
      </c>
      <c r="F313" s="3" t="s">
        <v>11</v>
      </c>
      <c r="G313" s="3" t="s">
        <v>207</v>
      </c>
      <c r="H313" s="20" t="s">
        <v>457</v>
      </c>
      <c r="I313" s="20"/>
      <c r="J313" s="3" t="s">
        <v>342</v>
      </c>
      <c r="K313" s="3" t="s">
        <v>14</v>
      </c>
      <c r="L313" s="3"/>
      <c r="M313" s="3" t="s">
        <v>25</v>
      </c>
      <c r="N313" s="3">
        <v>0</v>
      </c>
      <c r="O313" s="3" t="s">
        <v>15</v>
      </c>
      <c r="P313" s="3"/>
      <c r="Q313" s="3" t="s">
        <v>395</v>
      </c>
      <c r="R313" s="3" t="s">
        <v>346</v>
      </c>
    </row>
    <row r="314" spans="2:18" s="2" customFormat="1" ht="18" customHeight="1" x14ac:dyDescent="0.2">
      <c r="B314" s="12">
        <f t="shared" si="23"/>
        <v>297</v>
      </c>
      <c r="C314" s="3" t="s">
        <v>16</v>
      </c>
      <c r="D314" s="3">
        <v>9200106</v>
      </c>
      <c r="E314" s="20" t="str">
        <f t="shared" si="22"/>
        <v>9200106</v>
      </c>
      <c r="F314" s="3" t="s">
        <v>11</v>
      </c>
      <c r="G314" s="3" t="s">
        <v>113</v>
      </c>
      <c r="H314" s="20" t="s">
        <v>434</v>
      </c>
      <c r="I314" s="20"/>
      <c r="J314" s="3" t="s">
        <v>114</v>
      </c>
      <c r="K314" s="3" t="s">
        <v>14</v>
      </c>
      <c r="L314" s="3"/>
      <c r="M314" s="3" t="s">
        <v>25</v>
      </c>
      <c r="N314" s="3">
        <v>0</v>
      </c>
      <c r="O314" s="3" t="s">
        <v>15</v>
      </c>
      <c r="P314" s="3"/>
      <c r="Q314" s="3" t="s">
        <v>395</v>
      </c>
      <c r="R314" s="3" t="s">
        <v>346</v>
      </c>
    </row>
    <row r="315" spans="2:18" s="2" customFormat="1" x14ac:dyDescent="0.2">
      <c r="B315" s="3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7" spans="2:18" x14ac:dyDescent="0.25">
      <c r="Q317" s="16"/>
    </row>
    <row r="318" spans="2:18" x14ac:dyDescent="0.25">
      <c r="Q318" s="16"/>
    </row>
    <row r="319" spans="2:18" x14ac:dyDescent="0.25">
      <c r="B319" s="31"/>
      <c r="Q319" s="7"/>
      <c r="R319" s="7"/>
    </row>
    <row r="320" spans="2:18" x14ac:dyDescent="0.25">
      <c r="P320" s="17"/>
    </row>
  </sheetData>
  <autoFilter ref="A2:R320"/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autoPageBreaks="0"/>
  </sheetPr>
  <dimension ref="B1:V320"/>
  <sheetViews>
    <sheetView showGridLines="0" zoomScale="80" zoomScaleNormal="80" workbookViewId="0">
      <pane xSplit="14" ySplit="2" topLeftCell="O3" activePane="bottomRight" state="frozen"/>
      <selection pane="topRight" activeCell="F1" sqref="F1"/>
      <selection pane="bottomLeft" activeCell="A2" sqref="A2"/>
      <selection pane="bottomRight" activeCell="L138" sqref="L138"/>
    </sheetView>
  </sheetViews>
  <sheetFormatPr defaultRowHeight="13.5" x14ac:dyDescent="0.25"/>
  <cols>
    <col min="1" max="1" width="4.28515625" style="62" customWidth="1"/>
    <col min="2" max="2" width="10.5703125" style="63" bestFit="1" customWidth="1"/>
    <col min="3" max="3" width="10.7109375" style="64" customWidth="1"/>
    <col min="4" max="4" width="22.140625" style="64" customWidth="1"/>
    <col min="5" max="7" width="16.42578125" style="6" hidden="1" customWidth="1"/>
    <col min="8" max="8" width="16.42578125" style="64" customWidth="1"/>
    <col min="9" max="9" width="11" style="64" customWidth="1"/>
    <col min="10" max="10" width="15" style="64" bestFit="1" customWidth="1"/>
    <col min="11" max="11" width="22" style="64" customWidth="1"/>
    <col min="12" max="12" width="21" style="64" bestFit="1" customWidth="1"/>
    <col min="13" max="13" width="48.85546875" style="64" bestFit="1" customWidth="1"/>
    <col min="14" max="14" width="66" style="64" bestFit="1" customWidth="1"/>
    <col min="15" max="16" width="6.7109375" style="64" customWidth="1"/>
    <col min="17" max="17" width="15.140625" style="64" bestFit="1" customWidth="1"/>
    <col min="18" max="18" width="10.28515625" style="64" customWidth="1"/>
    <col min="19" max="19" width="12.28515625" style="64" bestFit="1" customWidth="1"/>
    <col min="20" max="20" width="21.140625" style="64" customWidth="1"/>
    <col min="21" max="21" width="9.85546875" style="64" customWidth="1"/>
    <col min="22" max="22" width="11.140625" style="64" customWidth="1"/>
    <col min="23" max="16384" width="9.140625" style="62"/>
  </cols>
  <sheetData>
    <row r="1" spans="2:22" s="5" customFormat="1" ht="19.5" customHeight="1" x14ac:dyDescent="0.25">
      <c r="B1" s="14"/>
      <c r="C1" s="1"/>
      <c r="D1" s="32" t="s">
        <v>532</v>
      </c>
      <c r="E1" s="1"/>
      <c r="F1" s="1"/>
      <c r="G1" s="1"/>
      <c r="H1" s="32"/>
      <c r="I1" s="1"/>
      <c r="J1" s="1"/>
      <c r="K1" s="1"/>
      <c r="L1" s="32"/>
      <c r="M1" s="1"/>
      <c r="N1" s="1"/>
      <c r="O1" s="1"/>
      <c r="P1" s="1"/>
      <c r="Q1" s="1"/>
      <c r="R1" s="32" t="s">
        <v>533</v>
      </c>
      <c r="S1" s="1"/>
      <c r="T1" s="1"/>
      <c r="U1" s="1" t="s">
        <v>534</v>
      </c>
      <c r="V1" s="1"/>
    </row>
    <row r="2" spans="2:22" s="1" customFormat="1" x14ac:dyDescent="0.2">
      <c r="B2" s="9" t="s">
        <v>535</v>
      </c>
      <c r="C2" s="10" t="s">
        <v>0</v>
      </c>
      <c r="D2" s="10" t="s">
        <v>1</v>
      </c>
      <c r="E2" s="10" t="s">
        <v>536</v>
      </c>
      <c r="F2" s="10"/>
      <c r="G2" s="10"/>
      <c r="H2" s="33"/>
      <c r="I2" s="10" t="s">
        <v>2</v>
      </c>
      <c r="J2" s="10" t="s">
        <v>3</v>
      </c>
      <c r="K2" s="21" t="s">
        <v>537</v>
      </c>
      <c r="L2" s="34" t="s">
        <v>538</v>
      </c>
      <c r="M2" s="21" t="s">
        <v>539</v>
      </c>
      <c r="N2" s="10" t="s">
        <v>4</v>
      </c>
      <c r="O2" s="10" t="s">
        <v>5</v>
      </c>
      <c r="P2" s="10" t="s">
        <v>6</v>
      </c>
      <c r="Q2" s="10" t="s">
        <v>7</v>
      </c>
      <c r="R2" s="10" t="s">
        <v>540</v>
      </c>
      <c r="S2" s="10" t="s">
        <v>8</v>
      </c>
      <c r="T2" s="10" t="s">
        <v>9</v>
      </c>
      <c r="U2" s="10" t="s">
        <v>541</v>
      </c>
      <c r="V2" s="10" t="s">
        <v>542</v>
      </c>
    </row>
    <row r="3" spans="2:22" s="2" customFormat="1" ht="18" hidden="1" customHeight="1" x14ac:dyDescent="0.2">
      <c r="B3" s="15">
        <v>1</v>
      </c>
      <c r="C3" s="11" t="s">
        <v>10</v>
      </c>
      <c r="D3" s="11">
        <v>110029750</v>
      </c>
      <c r="E3" s="20" t="str">
        <f t="shared" ref="E3:E66" si="0">TRIM(D3)</f>
        <v>110029750</v>
      </c>
      <c r="F3" s="20"/>
      <c r="G3" s="20"/>
      <c r="H3" s="35">
        <v>110029750</v>
      </c>
      <c r="I3" s="11" t="s">
        <v>11</v>
      </c>
      <c r="J3" s="11" t="s">
        <v>12</v>
      </c>
      <c r="K3" s="11" t="s">
        <v>407</v>
      </c>
      <c r="L3" s="35"/>
      <c r="M3" s="11"/>
      <c r="N3" s="11" t="s">
        <v>13</v>
      </c>
      <c r="O3" s="11" t="s">
        <v>14</v>
      </c>
      <c r="P3" s="11" t="s">
        <v>14</v>
      </c>
      <c r="Q3" s="11"/>
      <c r="R3" s="11"/>
      <c r="S3" s="11" t="s">
        <v>15</v>
      </c>
      <c r="T3" s="11"/>
      <c r="U3" s="11" t="s">
        <v>543</v>
      </c>
      <c r="V3" s="11" t="s">
        <v>544</v>
      </c>
    </row>
    <row r="4" spans="2:22" s="2" customFormat="1" ht="18" hidden="1" customHeight="1" x14ac:dyDescent="0.2">
      <c r="B4" s="12">
        <f t="shared" ref="B4:B18" si="1">B3+1</f>
        <v>2</v>
      </c>
      <c r="C4" s="3" t="s">
        <v>16</v>
      </c>
      <c r="D4" s="3" t="s">
        <v>391</v>
      </c>
      <c r="E4" s="20" t="str">
        <f t="shared" si="0"/>
        <v>0581-0008-0207</v>
      </c>
      <c r="F4" s="20"/>
      <c r="G4" s="20"/>
      <c r="H4" s="35" t="s">
        <v>545</v>
      </c>
      <c r="I4" s="3" t="s">
        <v>11</v>
      </c>
      <c r="J4" s="3" t="s">
        <v>17</v>
      </c>
      <c r="K4" s="20" t="s">
        <v>408</v>
      </c>
      <c r="L4" s="35"/>
      <c r="M4" s="20"/>
      <c r="N4" s="3" t="s">
        <v>546</v>
      </c>
      <c r="O4" s="3" t="s">
        <v>14</v>
      </c>
      <c r="P4" s="3"/>
      <c r="Q4" s="3" t="s">
        <v>18</v>
      </c>
      <c r="R4" s="3">
        <v>2</v>
      </c>
      <c r="S4" s="3" t="s">
        <v>15</v>
      </c>
      <c r="T4" s="3"/>
      <c r="U4" s="3" t="s">
        <v>547</v>
      </c>
      <c r="V4" s="3" t="s">
        <v>548</v>
      </c>
    </row>
    <row r="5" spans="2:22" s="2" customFormat="1" ht="18" hidden="1" customHeight="1" x14ac:dyDescent="0.2">
      <c r="B5" s="15">
        <f t="shared" si="1"/>
        <v>3</v>
      </c>
      <c r="C5" s="11" t="s">
        <v>16</v>
      </c>
      <c r="D5" s="11">
        <v>100014570</v>
      </c>
      <c r="E5" s="20" t="str">
        <f t="shared" si="0"/>
        <v>100014570</v>
      </c>
      <c r="F5" s="20"/>
      <c r="G5" s="20"/>
      <c r="H5" s="35">
        <v>100014570</v>
      </c>
      <c r="I5" s="11" t="s">
        <v>11</v>
      </c>
      <c r="J5" s="11" t="s">
        <v>19</v>
      </c>
      <c r="K5" s="11" t="s">
        <v>409</v>
      </c>
      <c r="L5" s="35"/>
      <c r="M5" s="11"/>
      <c r="N5" s="11" t="s">
        <v>20</v>
      </c>
      <c r="O5" s="11" t="s">
        <v>14</v>
      </c>
      <c r="P5" s="11"/>
      <c r="Q5" s="11" t="s">
        <v>21</v>
      </c>
      <c r="R5" s="11">
        <v>1</v>
      </c>
      <c r="S5" s="11" t="s">
        <v>15</v>
      </c>
      <c r="T5" s="11"/>
      <c r="U5" s="11" t="s">
        <v>543</v>
      </c>
      <c r="V5" s="11" t="s">
        <v>543</v>
      </c>
    </row>
    <row r="6" spans="2:22" s="2" customFormat="1" ht="18" hidden="1" customHeight="1" x14ac:dyDescent="0.2">
      <c r="B6" s="12">
        <f t="shared" si="1"/>
        <v>4</v>
      </c>
      <c r="C6" s="3" t="s">
        <v>22</v>
      </c>
      <c r="D6" s="3">
        <v>180000572</v>
      </c>
      <c r="E6" s="20" t="str">
        <f t="shared" si="0"/>
        <v>180000572</v>
      </c>
      <c r="F6" s="20"/>
      <c r="G6" s="20"/>
      <c r="H6" s="35">
        <v>180000572</v>
      </c>
      <c r="I6" s="3" t="s">
        <v>11</v>
      </c>
      <c r="J6" s="3" t="s">
        <v>23</v>
      </c>
      <c r="K6" s="20" t="s">
        <v>410</v>
      </c>
      <c r="L6" s="35"/>
      <c r="M6" s="20"/>
      <c r="N6" s="3" t="s">
        <v>343</v>
      </c>
      <c r="O6" s="3" t="s">
        <v>24</v>
      </c>
      <c r="P6" s="3"/>
      <c r="Q6" s="3" t="s">
        <v>25</v>
      </c>
      <c r="R6" s="3">
        <v>0</v>
      </c>
      <c r="S6" s="3" t="s">
        <v>15</v>
      </c>
      <c r="T6" s="3"/>
      <c r="U6" s="3" t="s">
        <v>549</v>
      </c>
      <c r="V6" s="3" t="s">
        <v>550</v>
      </c>
    </row>
    <row r="7" spans="2:22" s="2" customFormat="1" ht="18" hidden="1" customHeight="1" x14ac:dyDescent="0.2">
      <c r="B7" s="12">
        <f t="shared" si="1"/>
        <v>5</v>
      </c>
      <c r="C7" s="3" t="s">
        <v>22</v>
      </c>
      <c r="D7" s="3">
        <v>190002900</v>
      </c>
      <c r="E7" s="20" t="str">
        <f t="shared" si="0"/>
        <v>190002900</v>
      </c>
      <c r="F7" s="20"/>
      <c r="G7" s="20"/>
      <c r="H7" s="35">
        <v>190002900</v>
      </c>
      <c r="I7" s="3" t="s">
        <v>11</v>
      </c>
      <c r="J7" s="3" t="s">
        <v>26</v>
      </c>
      <c r="K7" s="20" t="s">
        <v>411</v>
      </c>
      <c r="L7" s="35"/>
      <c r="M7" s="20"/>
      <c r="N7" s="3" t="s">
        <v>27</v>
      </c>
      <c r="O7" s="3" t="s">
        <v>28</v>
      </c>
      <c r="P7" s="3"/>
      <c r="Q7" s="3" t="s">
        <v>21</v>
      </c>
      <c r="R7" s="3">
        <v>1</v>
      </c>
      <c r="S7" s="3" t="s">
        <v>15</v>
      </c>
      <c r="T7" s="3"/>
      <c r="U7" s="3" t="s">
        <v>346</v>
      </c>
      <c r="V7" s="3" t="s">
        <v>346</v>
      </c>
    </row>
    <row r="8" spans="2:22" s="2" customFormat="1" ht="18" hidden="1" customHeight="1" x14ac:dyDescent="0.2">
      <c r="B8" s="12">
        <f t="shared" si="1"/>
        <v>6</v>
      </c>
      <c r="C8" s="3" t="s">
        <v>22</v>
      </c>
      <c r="D8" s="3">
        <v>190002920</v>
      </c>
      <c r="E8" s="20" t="str">
        <f t="shared" si="0"/>
        <v>190002920</v>
      </c>
      <c r="F8" s="20"/>
      <c r="G8" s="20"/>
      <c r="H8" s="35">
        <v>190002920</v>
      </c>
      <c r="I8" s="3" t="s">
        <v>11</v>
      </c>
      <c r="J8" s="3" t="s">
        <v>29</v>
      </c>
      <c r="K8" s="20" t="s">
        <v>412</v>
      </c>
      <c r="L8" s="35"/>
      <c r="M8" s="20"/>
      <c r="N8" s="3" t="s">
        <v>30</v>
      </c>
      <c r="O8" s="3" t="s">
        <v>31</v>
      </c>
      <c r="P8" s="3"/>
      <c r="Q8" s="3" t="s">
        <v>21</v>
      </c>
      <c r="R8" s="3">
        <v>1</v>
      </c>
      <c r="S8" s="3" t="s">
        <v>15</v>
      </c>
      <c r="T8" s="3"/>
      <c r="U8" s="3" t="s">
        <v>551</v>
      </c>
      <c r="V8" s="3" t="s">
        <v>552</v>
      </c>
    </row>
    <row r="9" spans="2:22" s="2" customFormat="1" ht="18" hidden="1" customHeight="1" x14ac:dyDescent="0.2">
      <c r="B9" s="8">
        <f t="shared" si="1"/>
        <v>7</v>
      </c>
      <c r="C9" s="4" t="s">
        <v>16</v>
      </c>
      <c r="D9" s="4">
        <v>100210965</v>
      </c>
      <c r="E9" s="20" t="str">
        <f t="shared" si="0"/>
        <v>100210965</v>
      </c>
      <c r="F9" s="20"/>
      <c r="G9" s="20"/>
      <c r="H9" s="35">
        <v>100210965</v>
      </c>
      <c r="I9" s="4" t="s">
        <v>11</v>
      </c>
      <c r="J9" s="4" t="s">
        <v>32</v>
      </c>
      <c r="K9" s="4" t="s">
        <v>413</v>
      </c>
      <c r="L9" s="35"/>
      <c r="M9" s="4"/>
      <c r="N9" s="4" t="s">
        <v>553</v>
      </c>
      <c r="O9" s="4" t="s">
        <v>14</v>
      </c>
      <c r="P9" s="4"/>
      <c r="Q9" s="4" t="s">
        <v>33</v>
      </c>
      <c r="R9" s="4">
        <v>0</v>
      </c>
      <c r="S9" s="4" t="s">
        <v>15</v>
      </c>
      <c r="T9" s="4"/>
      <c r="U9" s="4" t="s">
        <v>554</v>
      </c>
      <c r="V9" s="4" t="s">
        <v>555</v>
      </c>
    </row>
    <row r="10" spans="2:22" s="2" customFormat="1" ht="18" hidden="1" customHeight="1" x14ac:dyDescent="0.2">
      <c r="B10" s="8">
        <f t="shared" si="1"/>
        <v>8</v>
      </c>
      <c r="C10" s="4" t="s">
        <v>22</v>
      </c>
      <c r="D10" s="4">
        <v>100210964</v>
      </c>
      <c r="E10" s="20" t="str">
        <f t="shared" si="0"/>
        <v>100210964</v>
      </c>
      <c r="F10" s="20"/>
      <c r="G10" s="20"/>
      <c r="H10" s="35">
        <v>100210964</v>
      </c>
      <c r="I10" s="4" t="s">
        <v>11</v>
      </c>
      <c r="J10" s="4" t="s">
        <v>34</v>
      </c>
      <c r="K10" s="4"/>
      <c r="L10" s="35"/>
      <c r="M10" s="4"/>
      <c r="N10" s="4" t="s">
        <v>35</v>
      </c>
      <c r="O10" s="4" t="s">
        <v>14</v>
      </c>
      <c r="P10" s="4"/>
      <c r="Q10" s="4" t="s">
        <v>33</v>
      </c>
      <c r="R10" s="4">
        <v>0</v>
      </c>
      <c r="S10" s="4" t="s">
        <v>15</v>
      </c>
      <c r="T10" s="4"/>
      <c r="U10" s="4" t="s">
        <v>397</v>
      </c>
      <c r="V10" s="4" t="s">
        <v>374</v>
      </c>
    </row>
    <row r="11" spans="2:22" s="2" customFormat="1" ht="18" hidden="1" customHeight="1" x14ac:dyDescent="0.2">
      <c r="B11" s="8">
        <f t="shared" si="1"/>
        <v>9</v>
      </c>
      <c r="C11" s="4" t="s">
        <v>36</v>
      </c>
      <c r="D11" s="4">
        <v>860210837</v>
      </c>
      <c r="E11" s="20" t="str">
        <f t="shared" si="0"/>
        <v>860210837</v>
      </c>
      <c r="F11" s="20"/>
      <c r="G11" s="20"/>
      <c r="H11" s="35">
        <v>860210837</v>
      </c>
      <c r="I11" s="4" t="s">
        <v>11</v>
      </c>
      <c r="J11" s="4" t="s">
        <v>23</v>
      </c>
      <c r="K11" s="4"/>
      <c r="L11" s="35"/>
      <c r="M11" s="4"/>
      <c r="N11" s="4" t="s">
        <v>37</v>
      </c>
      <c r="O11" s="4" t="s">
        <v>14</v>
      </c>
      <c r="P11" s="4"/>
      <c r="Q11" s="4" t="s">
        <v>21</v>
      </c>
      <c r="R11" s="4">
        <v>1</v>
      </c>
      <c r="S11" s="4" t="s">
        <v>556</v>
      </c>
      <c r="T11" s="4"/>
      <c r="U11" s="4" t="s">
        <v>397</v>
      </c>
      <c r="V11" s="4" t="s">
        <v>374</v>
      </c>
    </row>
    <row r="12" spans="2:22" s="2" customFormat="1" ht="18" hidden="1" customHeight="1" x14ac:dyDescent="0.2">
      <c r="B12" s="8">
        <f t="shared" si="1"/>
        <v>10</v>
      </c>
      <c r="C12" s="4" t="s">
        <v>22</v>
      </c>
      <c r="D12" s="4">
        <v>100210966</v>
      </c>
      <c r="E12" s="20" t="str">
        <f t="shared" si="0"/>
        <v>100210966</v>
      </c>
      <c r="F12" s="20"/>
      <c r="G12" s="20"/>
      <c r="H12" s="35">
        <v>100210966</v>
      </c>
      <c r="I12" s="4" t="s">
        <v>11</v>
      </c>
      <c r="J12" s="4" t="s">
        <v>39</v>
      </c>
      <c r="K12" s="4"/>
      <c r="L12" s="35"/>
      <c r="M12" s="4"/>
      <c r="N12" s="4" t="s">
        <v>40</v>
      </c>
      <c r="O12" s="4" t="s">
        <v>14</v>
      </c>
      <c r="P12" s="4"/>
      <c r="Q12" s="4" t="s">
        <v>33</v>
      </c>
      <c r="R12" s="4">
        <v>0</v>
      </c>
      <c r="S12" s="4" t="s">
        <v>15</v>
      </c>
      <c r="T12" s="4"/>
      <c r="U12" s="4" t="s">
        <v>397</v>
      </c>
      <c r="V12" s="4" t="s">
        <v>374</v>
      </c>
    </row>
    <row r="13" spans="2:22" s="2" customFormat="1" ht="18" hidden="1" customHeight="1" x14ac:dyDescent="0.2">
      <c r="B13" s="8">
        <f t="shared" si="1"/>
        <v>11</v>
      </c>
      <c r="C13" s="4" t="s">
        <v>36</v>
      </c>
      <c r="D13" s="4">
        <v>860210837</v>
      </c>
      <c r="E13" s="20" t="str">
        <f t="shared" si="0"/>
        <v>860210837</v>
      </c>
      <c r="F13" s="20"/>
      <c r="G13" s="20"/>
      <c r="H13" s="35">
        <v>860210837</v>
      </c>
      <c r="I13" s="4" t="s">
        <v>11</v>
      </c>
      <c r="J13" s="4" t="s">
        <v>23</v>
      </c>
      <c r="K13" s="4"/>
      <c r="L13" s="35"/>
      <c r="M13" s="4"/>
      <c r="N13" s="4" t="s">
        <v>37</v>
      </c>
      <c r="O13" s="4" t="s">
        <v>14</v>
      </c>
      <c r="P13" s="4"/>
      <c r="Q13" s="4" t="s">
        <v>21</v>
      </c>
      <c r="R13" s="4">
        <v>1</v>
      </c>
      <c r="S13" s="4" t="s">
        <v>38</v>
      </c>
      <c r="T13" s="4"/>
      <c r="U13" s="4" t="s">
        <v>397</v>
      </c>
      <c r="V13" s="4" t="s">
        <v>374</v>
      </c>
    </row>
    <row r="14" spans="2:22" s="2" customFormat="1" ht="18" hidden="1" customHeight="1" x14ac:dyDescent="0.2">
      <c r="B14" s="8">
        <f t="shared" si="1"/>
        <v>12</v>
      </c>
      <c r="C14" s="4" t="s">
        <v>22</v>
      </c>
      <c r="D14" s="4">
        <v>100210967</v>
      </c>
      <c r="E14" s="20" t="str">
        <f t="shared" si="0"/>
        <v>100210967</v>
      </c>
      <c r="F14" s="20"/>
      <c r="G14" s="20"/>
      <c r="H14" s="35">
        <v>100210967</v>
      </c>
      <c r="I14" s="4" t="s">
        <v>11</v>
      </c>
      <c r="J14" s="4" t="s">
        <v>39</v>
      </c>
      <c r="K14" s="4"/>
      <c r="L14" s="35"/>
      <c r="M14" s="4"/>
      <c r="N14" s="4" t="s">
        <v>41</v>
      </c>
      <c r="O14" s="4" t="s">
        <v>14</v>
      </c>
      <c r="P14" s="4"/>
      <c r="Q14" s="4" t="s">
        <v>33</v>
      </c>
      <c r="R14" s="4">
        <v>0</v>
      </c>
      <c r="S14" s="4" t="s">
        <v>15</v>
      </c>
      <c r="T14" s="4"/>
      <c r="U14" s="4" t="s">
        <v>397</v>
      </c>
      <c r="V14" s="4" t="s">
        <v>374</v>
      </c>
    </row>
    <row r="15" spans="2:22" s="2" customFormat="1" ht="18" hidden="1" customHeight="1" x14ac:dyDescent="0.2">
      <c r="B15" s="8">
        <f t="shared" si="1"/>
        <v>13</v>
      </c>
      <c r="C15" s="4" t="s">
        <v>36</v>
      </c>
      <c r="D15" s="4">
        <v>860210837</v>
      </c>
      <c r="E15" s="20" t="str">
        <f t="shared" si="0"/>
        <v>860210837</v>
      </c>
      <c r="F15" s="20"/>
      <c r="G15" s="20"/>
      <c r="H15" s="35">
        <v>860210837</v>
      </c>
      <c r="I15" s="4" t="s">
        <v>11</v>
      </c>
      <c r="J15" s="4" t="s">
        <v>23</v>
      </c>
      <c r="K15" s="4"/>
      <c r="L15" s="35"/>
      <c r="M15" s="4"/>
      <c r="N15" s="4" t="s">
        <v>37</v>
      </c>
      <c r="O15" s="4" t="s">
        <v>14</v>
      </c>
      <c r="P15" s="4"/>
      <c r="Q15" s="4" t="s">
        <v>21</v>
      </c>
      <c r="R15" s="4">
        <v>1</v>
      </c>
      <c r="S15" s="4" t="s">
        <v>38</v>
      </c>
      <c r="T15" s="4"/>
      <c r="U15" s="4" t="s">
        <v>397</v>
      </c>
      <c r="V15" s="4" t="s">
        <v>374</v>
      </c>
    </row>
    <row r="16" spans="2:22" s="2" customFormat="1" ht="18" hidden="1" customHeight="1" x14ac:dyDescent="0.2">
      <c r="B16" s="8">
        <f t="shared" si="1"/>
        <v>14</v>
      </c>
      <c r="C16" s="4" t="s">
        <v>22</v>
      </c>
      <c r="D16" s="4">
        <v>100210968</v>
      </c>
      <c r="E16" s="20" t="str">
        <f t="shared" si="0"/>
        <v>100210968</v>
      </c>
      <c r="F16" s="20"/>
      <c r="G16" s="20"/>
      <c r="H16" s="35">
        <v>100210968</v>
      </c>
      <c r="I16" s="4" t="s">
        <v>11</v>
      </c>
      <c r="J16" s="4" t="s">
        <v>39</v>
      </c>
      <c r="K16" s="4"/>
      <c r="L16" s="35"/>
      <c r="M16" s="4"/>
      <c r="N16" s="4" t="s">
        <v>42</v>
      </c>
      <c r="O16" s="4" t="s">
        <v>14</v>
      </c>
      <c r="P16" s="4"/>
      <c r="Q16" s="4" t="s">
        <v>33</v>
      </c>
      <c r="R16" s="4">
        <v>0</v>
      </c>
      <c r="S16" s="4" t="s">
        <v>15</v>
      </c>
      <c r="T16" s="4"/>
      <c r="U16" s="4" t="s">
        <v>397</v>
      </c>
      <c r="V16" s="4" t="s">
        <v>374</v>
      </c>
    </row>
    <row r="17" spans="2:22" s="2" customFormat="1" ht="18" hidden="1" customHeight="1" x14ac:dyDescent="0.2">
      <c r="B17" s="8">
        <f t="shared" si="1"/>
        <v>15</v>
      </c>
      <c r="C17" s="4" t="s">
        <v>36</v>
      </c>
      <c r="D17" s="4">
        <v>860210837</v>
      </c>
      <c r="E17" s="20" t="str">
        <f t="shared" si="0"/>
        <v>860210837</v>
      </c>
      <c r="F17" s="20"/>
      <c r="G17" s="20"/>
      <c r="H17" s="35">
        <v>860210837</v>
      </c>
      <c r="I17" s="4" t="s">
        <v>11</v>
      </c>
      <c r="J17" s="4" t="s">
        <v>23</v>
      </c>
      <c r="K17" s="4"/>
      <c r="L17" s="35"/>
      <c r="M17" s="4"/>
      <c r="N17" s="4" t="s">
        <v>37</v>
      </c>
      <c r="O17" s="4" t="s">
        <v>14</v>
      </c>
      <c r="P17" s="4"/>
      <c r="Q17" s="4" t="s">
        <v>21</v>
      </c>
      <c r="R17" s="4">
        <v>1</v>
      </c>
      <c r="S17" s="4" t="s">
        <v>38</v>
      </c>
      <c r="T17" s="4"/>
      <c r="U17" s="4" t="s">
        <v>397</v>
      </c>
      <c r="V17" s="4" t="s">
        <v>374</v>
      </c>
    </row>
    <row r="18" spans="2:22" s="2" customFormat="1" ht="18" customHeight="1" x14ac:dyDescent="0.2">
      <c r="B18" s="19">
        <f t="shared" si="1"/>
        <v>16</v>
      </c>
      <c r="C18" s="18" t="s">
        <v>16</v>
      </c>
      <c r="D18" s="18">
        <v>110036930</v>
      </c>
      <c r="E18" s="20" t="str">
        <f t="shared" si="0"/>
        <v>110036930</v>
      </c>
      <c r="F18" s="20"/>
      <c r="G18" s="20"/>
      <c r="H18" s="35">
        <v>110036930</v>
      </c>
      <c r="I18" s="18" t="s">
        <v>11</v>
      </c>
      <c r="J18" s="27" t="s">
        <v>43</v>
      </c>
      <c r="K18" s="27" t="s">
        <v>414</v>
      </c>
      <c r="L18" s="34" t="s">
        <v>557</v>
      </c>
      <c r="M18" s="18" t="s">
        <v>558</v>
      </c>
      <c r="N18" s="18" t="s">
        <v>44</v>
      </c>
      <c r="O18" s="18" t="s">
        <v>14</v>
      </c>
      <c r="P18" s="18"/>
      <c r="Q18" s="18" t="s">
        <v>21</v>
      </c>
      <c r="R18" s="18">
        <v>1</v>
      </c>
      <c r="S18" s="18" t="s">
        <v>38</v>
      </c>
      <c r="T18" s="18"/>
      <c r="U18" s="18" t="s">
        <v>354</v>
      </c>
      <c r="V18" s="18" t="s">
        <v>354</v>
      </c>
    </row>
    <row r="19" spans="2:22" s="2" customFormat="1" ht="18" customHeight="1" x14ac:dyDescent="0.2">
      <c r="B19" s="19" t="str">
        <f>"16-1"</f>
        <v>16-1</v>
      </c>
      <c r="C19" s="18">
        <v>2</v>
      </c>
      <c r="D19" s="18">
        <v>100213515</v>
      </c>
      <c r="E19" s="20" t="str">
        <f t="shared" si="0"/>
        <v>100213515</v>
      </c>
      <c r="F19" s="20"/>
      <c r="G19" s="20"/>
      <c r="H19" s="35" t="e">
        <v>#N/A</v>
      </c>
      <c r="I19" s="18" t="s">
        <v>11</v>
      </c>
      <c r="J19" s="18"/>
      <c r="K19" s="23" t="s">
        <v>500</v>
      </c>
      <c r="L19" s="36" t="s">
        <v>560</v>
      </c>
      <c r="M19" s="23" t="s">
        <v>561</v>
      </c>
      <c r="N19" s="18" t="s">
        <v>496</v>
      </c>
      <c r="O19" s="18"/>
      <c r="P19" s="18"/>
      <c r="Q19" s="18" t="s">
        <v>33</v>
      </c>
      <c r="R19" s="18"/>
      <c r="S19" s="18"/>
      <c r="T19" s="18"/>
      <c r="U19" s="18"/>
      <c r="V19" s="18"/>
    </row>
    <row r="20" spans="2:22" s="2" customFormat="1" ht="18" customHeight="1" x14ac:dyDescent="0.2">
      <c r="B20" s="19" t="str">
        <f>"16-2"</f>
        <v>16-2</v>
      </c>
      <c r="C20" s="18">
        <v>3</v>
      </c>
      <c r="D20" s="22" t="s">
        <v>498</v>
      </c>
      <c r="E20" s="20" t="str">
        <f t="shared" si="0"/>
        <v>600001344</v>
      </c>
      <c r="F20" s="20"/>
      <c r="G20" s="20"/>
      <c r="H20" s="35" t="e">
        <v>#N/A</v>
      </c>
      <c r="I20" s="18" t="s">
        <v>11</v>
      </c>
      <c r="J20" s="18"/>
      <c r="K20" s="23" t="s">
        <v>500</v>
      </c>
      <c r="L20" s="36" t="s">
        <v>562</v>
      </c>
      <c r="M20" s="23" t="s">
        <v>563</v>
      </c>
      <c r="N20" s="23" t="s">
        <v>501</v>
      </c>
      <c r="O20" s="18"/>
      <c r="P20" s="18"/>
      <c r="Q20" s="18" t="s">
        <v>33</v>
      </c>
      <c r="R20" s="18"/>
      <c r="S20" s="18"/>
      <c r="T20" s="18"/>
      <c r="U20" s="18"/>
      <c r="V20" s="18"/>
    </row>
    <row r="21" spans="2:22" s="2" customFormat="1" ht="18" customHeight="1" x14ac:dyDescent="0.2">
      <c r="B21" s="19" t="str">
        <f>"16-3"</f>
        <v>16-3</v>
      </c>
      <c r="C21" s="18">
        <v>3</v>
      </c>
      <c r="D21" s="22" t="s">
        <v>499</v>
      </c>
      <c r="E21" s="20" t="str">
        <f t="shared" si="0"/>
        <v>860213518</v>
      </c>
      <c r="F21" s="20"/>
      <c r="G21" s="20"/>
      <c r="H21" s="35" t="e">
        <v>#N/A</v>
      </c>
      <c r="I21" s="18" t="s">
        <v>11</v>
      </c>
      <c r="J21" s="18"/>
      <c r="K21" s="23" t="s">
        <v>500</v>
      </c>
      <c r="L21" s="36" t="s">
        <v>564</v>
      </c>
      <c r="M21" s="23" t="s">
        <v>565</v>
      </c>
      <c r="N21" s="23" t="s">
        <v>502</v>
      </c>
      <c r="O21" s="18"/>
      <c r="P21" s="18"/>
      <c r="Q21" s="18" t="s">
        <v>33</v>
      </c>
      <c r="R21" s="18"/>
      <c r="S21" s="18"/>
      <c r="T21" s="18"/>
      <c r="U21" s="18"/>
      <c r="V21" s="18"/>
    </row>
    <row r="22" spans="2:22" s="2" customFormat="1" ht="18" hidden="1" customHeight="1" x14ac:dyDescent="0.2">
      <c r="B22" s="15">
        <f>B18+1</f>
        <v>17</v>
      </c>
      <c r="C22" s="11" t="s">
        <v>22</v>
      </c>
      <c r="D22" s="11">
        <v>120213846</v>
      </c>
      <c r="E22" s="20" t="str">
        <f t="shared" si="0"/>
        <v>120213846</v>
      </c>
      <c r="F22" s="20"/>
      <c r="G22" s="20"/>
      <c r="H22" s="35">
        <v>120213846</v>
      </c>
      <c r="I22" s="11" t="s">
        <v>11</v>
      </c>
      <c r="J22" s="11" t="s">
        <v>45</v>
      </c>
      <c r="K22" s="11" t="s">
        <v>415</v>
      </c>
      <c r="L22" s="35"/>
      <c r="M22" s="11"/>
      <c r="N22" s="11" t="s">
        <v>46</v>
      </c>
      <c r="O22" s="11" t="s">
        <v>14</v>
      </c>
      <c r="P22" s="11"/>
      <c r="Q22" s="11" t="s">
        <v>21</v>
      </c>
      <c r="R22" s="11">
        <v>1</v>
      </c>
      <c r="S22" s="11" t="s">
        <v>15</v>
      </c>
      <c r="T22" s="11"/>
      <c r="U22" s="11" t="s">
        <v>566</v>
      </c>
      <c r="V22" s="11" t="s">
        <v>567</v>
      </c>
    </row>
    <row r="23" spans="2:22" s="2" customFormat="1" ht="18" hidden="1" customHeight="1" x14ac:dyDescent="0.2">
      <c r="B23" s="15">
        <f t="shared" ref="B23:B44" si="2">B22+1</f>
        <v>18</v>
      </c>
      <c r="C23" s="11" t="s">
        <v>36</v>
      </c>
      <c r="D23" s="11">
        <v>120213350</v>
      </c>
      <c r="E23" s="20" t="str">
        <f t="shared" si="0"/>
        <v>120213350</v>
      </c>
      <c r="F23" s="20"/>
      <c r="G23" s="20"/>
      <c r="H23" s="35">
        <v>120213350</v>
      </c>
      <c r="I23" s="11" t="s">
        <v>11</v>
      </c>
      <c r="J23" s="11" t="s">
        <v>47</v>
      </c>
      <c r="K23" s="11" t="s">
        <v>416</v>
      </c>
      <c r="L23" s="35"/>
      <c r="M23" s="11"/>
      <c r="N23" s="11" t="s">
        <v>48</v>
      </c>
      <c r="O23" s="11" t="s">
        <v>14</v>
      </c>
      <c r="P23" s="11"/>
      <c r="Q23" s="11" t="s">
        <v>21</v>
      </c>
      <c r="R23" s="11">
        <v>1</v>
      </c>
      <c r="S23" s="11" t="s">
        <v>15</v>
      </c>
      <c r="T23" s="11"/>
      <c r="U23" s="11" t="s">
        <v>566</v>
      </c>
      <c r="V23" s="11" t="s">
        <v>365</v>
      </c>
    </row>
    <row r="24" spans="2:22" s="2" customFormat="1" ht="18" hidden="1" customHeight="1" x14ac:dyDescent="0.2">
      <c r="B24" s="12">
        <f t="shared" si="2"/>
        <v>19</v>
      </c>
      <c r="C24" s="3" t="s">
        <v>49</v>
      </c>
      <c r="D24" s="3">
        <v>230213252</v>
      </c>
      <c r="E24" s="20" t="str">
        <f t="shared" si="0"/>
        <v>230213252</v>
      </c>
      <c r="F24" s="20"/>
      <c r="G24" s="20"/>
      <c r="H24" s="35">
        <v>230213252</v>
      </c>
      <c r="I24" s="3" t="s">
        <v>11</v>
      </c>
      <c r="J24" s="3" t="s">
        <v>50</v>
      </c>
      <c r="K24" s="20" t="s">
        <v>417</v>
      </c>
      <c r="L24" s="35"/>
      <c r="M24" s="20"/>
      <c r="N24" s="3" t="s">
        <v>51</v>
      </c>
      <c r="O24" s="3" t="s">
        <v>14</v>
      </c>
      <c r="P24" s="3"/>
      <c r="Q24" s="3" t="s">
        <v>21</v>
      </c>
      <c r="R24" s="3">
        <v>1</v>
      </c>
      <c r="S24" s="3" t="s">
        <v>15</v>
      </c>
      <c r="T24" s="3"/>
      <c r="U24" s="3" t="s">
        <v>568</v>
      </c>
      <c r="V24" s="3" t="s">
        <v>551</v>
      </c>
    </row>
    <row r="25" spans="2:22" s="2" customFormat="1" ht="18" hidden="1" customHeight="1" x14ac:dyDescent="0.2">
      <c r="B25" s="12">
        <f t="shared" si="2"/>
        <v>20</v>
      </c>
      <c r="C25" s="3" t="s">
        <v>36</v>
      </c>
      <c r="D25" s="3">
        <v>4501116</v>
      </c>
      <c r="E25" s="20" t="str">
        <f t="shared" si="0"/>
        <v>4501116</v>
      </c>
      <c r="F25" s="20"/>
      <c r="G25" s="20"/>
      <c r="H25" s="35">
        <v>4501116</v>
      </c>
      <c r="I25" s="3" t="s">
        <v>11</v>
      </c>
      <c r="J25" s="3" t="s">
        <v>34</v>
      </c>
      <c r="K25" s="20" t="s">
        <v>418</v>
      </c>
      <c r="L25" s="35"/>
      <c r="M25" s="20"/>
      <c r="N25" s="3" t="s">
        <v>52</v>
      </c>
      <c r="O25" s="3" t="s">
        <v>14</v>
      </c>
      <c r="P25" s="3"/>
      <c r="Q25" s="3" t="s">
        <v>18</v>
      </c>
      <c r="R25" s="3">
        <v>2</v>
      </c>
      <c r="S25" s="3" t="s">
        <v>15</v>
      </c>
      <c r="T25" s="3"/>
      <c r="U25" s="3" t="s">
        <v>568</v>
      </c>
      <c r="V25" s="3" t="s">
        <v>569</v>
      </c>
    </row>
    <row r="26" spans="2:22" s="2" customFormat="1" ht="18" hidden="1" customHeight="1" x14ac:dyDescent="0.2">
      <c r="B26" s="12">
        <f t="shared" si="2"/>
        <v>21</v>
      </c>
      <c r="C26" s="3" t="s">
        <v>36</v>
      </c>
      <c r="D26" s="3">
        <v>510000152</v>
      </c>
      <c r="E26" s="20" t="str">
        <f t="shared" si="0"/>
        <v>510000152</v>
      </c>
      <c r="F26" s="20"/>
      <c r="G26" s="20"/>
      <c r="H26" s="35">
        <v>510000152</v>
      </c>
      <c r="I26" s="3" t="s">
        <v>11</v>
      </c>
      <c r="J26" s="3" t="s">
        <v>53</v>
      </c>
      <c r="K26" s="20" t="s">
        <v>419</v>
      </c>
      <c r="L26" s="35"/>
      <c r="M26" s="20"/>
      <c r="N26" s="3" t="s">
        <v>570</v>
      </c>
      <c r="O26" s="3" t="s">
        <v>14</v>
      </c>
      <c r="P26" s="3"/>
      <c r="Q26" s="3" t="s">
        <v>55</v>
      </c>
      <c r="R26" s="3">
        <v>4</v>
      </c>
      <c r="S26" s="3" t="s">
        <v>15</v>
      </c>
      <c r="T26" s="3"/>
      <c r="U26" s="3" t="s">
        <v>568</v>
      </c>
      <c r="V26" s="3" t="s">
        <v>346</v>
      </c>
    </row>
    <row r="27" spans="2:22" s="2" customFormat="1" ht="18" hidden="1" customHeight="1" x14ac:dyDescent="0.2">
      <c r="B27" s="12">
        <f t="shared" si="2"/>
        <v>22</v>
      </c>
      <c r="C27" s="3" t="s">
        <v>36</v>
      </c>
      <c r="D27" s="3">
        <v>5101302</v>
      </c>
      <c r="E27" s="20" t="str">
        <f t="shared" si="0"/>
        <v>5101302</v>
      </c>
      <c r="F27" s="20"/>
      <c r="G27" s="20"/>
      <c r="H27" s="35">
        <v>5101302</v>
      </c>
      <c r="I27" s="3" t="s">
        <v>11</v>
      </c>
      <c r="J27" s="3" t="s">
        <v>56</v>
      </c>
      <c r="K27" s="20" t="s">
        <v>420</v>
      </c>
      <c r="L27" s="35"/>
      <c r="M27" s="20"/>
      <c r="N27" s="3" t="s">
        <v>57</v>
      </c>
      <c r="O27" s="3" t="s">
        <v>14</v>
      </c>
      <c r="P27" s="3"/>
      <c r="Q27" s="3" t="s">
        <v>21</v>
      </c>
      <c r="R27" s="3">
        <v>1</v>
      </c>
      <c r="S27" s="3" t="s">
        <v>15</v>
      </c>
      <c r="T27" s="3"/>
      <c r="U27" s="3" t="s">
        <v>569</v>
      </c>
      <c r="V27" s="3" t="s">
        <v>548</v>
      </c>
    </row>
    <row r="28" spans="2:22" s="2" customFormat="1" ht="18" hidden="1" customHeight="1" x14ac:dyDescent="0.2">
      <c r="B28" s="12">
        <f t="shared" si="2"/>
        <v>23</v>
      </c>
      <c r="C28" s="3" t="s">
        <v>36</v>
      </c>
      <c r="D28" s="3">
        <v>5101522</v>
      </c>
      <c r="E28" s="20" t="str">
        <f t="shared" si="0"/>
        <v>5101522</v>
      </c>
      <c r="F28" s="20"/>
      <c r="G28" s="20"/>
      <c r="H28" s="35">
        <v>5101522</v>
      </c>
      <c r="I28" s="3" t="s">
        <v>11</v>
      </c>
      <c r="J28" s="3" t="s">
        <v>58</v>
      </c>
      <c r="K28" s="20" t="s">
        <v>421</v>
      </c>
      <c r="L28" s="35"/>
      <c r="M28" s="20"/>
      <c r="N28" s="3" t="s">
        <v>59</v>
      </c>
      <c r="O28" s="3" t="s">
        <v>14</v>
      </c>
      <c r="P28" s="3"/>
      <c r="Q28" s="3" t="s">
        <v>55</v>
      </c>
      <c r="R28" s="3">
        <v>4</v>
      </c>
      <c r="S28" s="3" t="s">
        <v>15</v>
      </c>
      <c r="T28" s="3"/>
      <c r="U28" s="3" t="s">
        <v>568</v>
      </c>
      <c r="V28" s="3" t="s">
        <v>552</v>
      </c>
    </row>
    <row r="29" spans="2:22" s="2" customFormat="1" ht="18" hidden="1" customHeight="1" x14ac:dyDescent="0.2">
      <c r="B29" s="12">
        <f t="shared" si="2"/>
        <v>24</v>
      </c>
      <c r="C29" s="3" t="s">
        <v>36</v>
      </c>
      <c r="D29" s="3">
        <v>5101967</v>
      </c>
      <c r="E29" s="20" t="str">
        <f t="shared" si="0"/>
        <v>5101967</v>
      </c>
      <c r="F29" s="20"/>
      <c r="G29" s="20"/>
      <c r="H29" s="35">
        <v>5101967</v>
      </c>
      <c r="I29" s="3" t="s">
        <v>11</v>
      </c>
      <c r="J29" s="3" t="s">
        <v>60</v>
      </c>
      <c r="K29" s="20" t="s">
        <v>422</v>
      </c>
      <c r="L29" s="35"/>
      <c r="M29" s="20"/>
      <c r="N29" s="3" t="s">
        <v>61</v>
      </c>
      <c r="O29" s="3" t="s">
        <v>14</v>
      </c>
      <c r="P29" s="3"/>
      <c r="Q29" s="3" t="s">
        <v>18</v>
      </c>
      <c r="R29" s="3">
        <v>2</v>
      </c>
      <c r="S29" s="3" t="s">
        <v>15</v>
      </c>
      <c r="T29" s="3"/>
      <c r="U29" s="3" t="s">
        <v>353</v>
      </c>
      <c r="V29" s="3" t="s">
        <v>548</v>
      </c>
    </row>
    <row r="30" spans="2:22" s="2" customFormat="1" ht="18" hidden="1" customHeight="1" x14ac:dyDescent="0.2">
      <c r="B30" s="12">
        <f t="shared" si="2"/>
        <v>25</v>
      </c>
      <c r="C30" s="3" t="s">
        <v>36</v>
      </c>
      <c r="D30" s="3">
        <v>7700325</v>
      </c>
      <c r="E30" s="20" t="str">
        <f t="shared" si="0"/>
        <v>7700325</v>
      </c>
      <c r="F30" s="20"/>
      <c r="G30" s="20"/>
      <c r="H30" s="35">
        <v>7700325</v>
      </c>
      <c r="I30" s="3" t="s">
        <v>11</v>
      </c>
      <c r="J30" s="3" t="s">
        <v>62</v>
      </c>
      <c r="K30" s="20" t="s">
        <v>423</v>
      </c>
      <c r="L30" s="35"/>
      <c r="M30" s="20"/>
      <c r="N30" s="3" t="s">
        <v>63</v>
      </c>
      <c r="O30" s="3" t="s">
        <v>14</v>
      </c>
      <c r="P30" s="3"/>
      <c r="Q30" s="3" t="s">
        <v>64</v>
      </c>
      <c r="R30" s="3">
        <v>0.8</v>
      </c>
      <c r="S30" s="3" t="s">
        <v>15</v>
      </c>
      <c r="T30" s="3"/>
      <c r="U30" s="3" t="s">
        <v>571</v>
      </c>
      <c r="V30" s="3" t="s">
        <v>572</v>
      </c>
    </row>
    <row r="31" spans="2:22" s="2" customFormat="1" ht="18" hidden="1" customHeight="1" x14ac:dyDescent="0.2">
      <c r="B31" s="15">
        <f t="shared" si="2"/>
        <v>26</v>
      </c>
      <c r="C31" s="11" t="s">
        <v>22</v>
      </c>
      <c r="D31" s="11">
        <v>120213847</v>
      </c>
      <c r="E31" s="20" t="str">
        <f t="shared" si="0"/>
        <v>120213847</v>
      </c>
      <c r="F31" s="20"/>
      <c r="G31" s="20"/>
      <c r="H31" s="35">
        <v>120213847</v>
      </c>
      <c r="I31" s="11" t="s">
        <v>11</v>
      </c>
      <c r="J31" s="11" t="s">
        <v>65</v>
      </c>
      <c r="K31" s="11" t="s">
        <v>424</v>
      </c>
      <c r="L31" s="35"/>
      <c r="M31" s="11"/>
      <c r="N31" s="11" t="s">
        <v>66</v>
      </c>
      <c r="O31" s="11" t="s">
        <v>14</v>
      </c>
      <c r="P31" s="11"/>
      <c r="Q31" s="11" t="s">
        <v>21</v>
      </c>
      <c r="R31" s="11">
        <v>1</v>
      </c>
      <c r="S31" s="11" t="s">
        <v>15</v>
      </c>
      <c r="T31" s="11"/>
      <c r="U31" s="11" t="s">
        <v>573</v>
      </c>
      <c r="V31" s="11" t="s">
        <v>543</v>
      </c>
    </row>
    <row r="32" spans="2:22" s="2" customFormat="1" ht="18" hidden="1" customHeight="1" x14ac:dyDescent="0.2">
      <c r="B32" s="15">
        <f t="shared" si="2"/>
        <v>27</v>
      </c>
      <c r="C32" s="11" t="s">
        <v>36</v>
      </c>
      <c r="D32" s="11">
        <v>120213350</v>
      </c>
      <c r="E32" s="20" t="str">
        <f t="shared" si="0"/>
        <v>120213350</v>
      </c>
      <c r="F32" s="20"/>
      <c r="G32" s="20"/>
      <c r="H32" s="35">
        <v>120213350</v>
      </c>
      <c r="I32" s="11" t="s">
        <v>11</v>
      </c>
      <c r="J32" s="11" t="s">
        <v>47</v>
      </c>
      <c r="K32" s="11" t="s">
        <v>416</v>
      </c>
      <c r="L32" s="35"/>
      <c r="M32" s="11"/>
      <c r="N32" s="11" t="s">
        <v>48</v>
      </c>
      <c r="O32" s="11" t="s">
        <v>14</v>
      </c>
      <c r="P32" s="11"/>
      <c r="Q32" s="11" t="s">
        <v>21</v>
      </c>
      <c r="R32" s="11">
        <v>1</v>
      </c>
      <c r="S32" s="11" t="s">
        <v>15</v>
      </c>
      <c r="T32" s="11"/>
      <c r="U32" s="11" t="s">
        <v>544</v>
      </c>
      <c r="V32" s="11" t="s">
        <v>574</v>
      </c>
    </row>
    <row r="33" spans="2:22" s="2" customFormat="1" ht="18" hidden="1" customHeight="1" x14ac:dyDescent="0.2">
      <c r="B33" s="12">
        <f t="shared" si="2"/>
        <v>28</v>
      </c>
      <c r="C33" s="3" t="s">
        <v>49</v>
      </c>
      <c r="D33" s="3">
        <v>230213252</v>
      </c>
      <c r="E33" s="20" t="str">
        <f t="shared" si="0"/>
        <v>230213252</v>
      </c>
      <c r="F33" s="20"/>
      <c r="G33" s="20"/>
      <c r="H33" s="35">
        <v>230213252</v>
      </c>
      <c r="I33" s="3" t="s">
        <v>11</v>
      </c>
      <c r="J33" s="3" t="s">
        <v>50</v>
      </c>
      <c r="K33" s="20" t="s">
        <v>417</v>
      </c>
      <c r="L33" s="35"/>
      <c r="M33" s="20"/>
      <c r="N33" s="3" t="s">
        <v>51</v>
      </c>
      <c r="O33" s="3" t="s">
        <v>14</v>
      </c>
      <c r="P33" s="3"/>
      <c r="Q33" s="3" t="s">
        <v>21</v>
      </c>
      <c r="R33" s="3">
        <v>1</v>
      </c>
      <c r="S33" s="3" t="s">
        <v>15</v>
      </c>
      <c r="T33" s="3"/>
      <c r="U33" s="3" t="s">
        <v>571</v>
      </c>
      <c r="V33" s="3" t="s">
        <v>552</v>
      </c>
    </row>
    <row r="34" spans="2:22" s="2" customFormat="1" ht="18" hidden="1" customHeight="1" x14ac:dyDescent="0.2">
      <c r="B34" s="12">
        <f t="shared" si="2"/>
        <v>29</v>
      </c>
      <c r="C34" s="3" t="s">
        <v>36</v>
      </c>
      <c r="D34" s="3">
        <v>4501116</v>
      </c>
      <c r="E34" s="20" t="str">
        <f t="shared" si="0"/>
        <v>4501116</v>
      </c>
      <c r="F34" s="20"/>
      <c r="G34" s="20"/>
      <c r="H34" s="35">
        <v>4501116</v>
      </c>
      <c r="I34" s="3" t="s">
        <v>11</v>
      </c>
      <c r="J34" s="3" t="s">
        <v>34</v>
      </c>
      <c r="K34" s="20" t="s">
        <v>418</v>
      </c>
      <c r="L34" s="35"/>
      <c r="M34" s="20"/>
      <c r="N34" s="3" t="s">
        <v>52</v>
      </c>
      <c r="O34" s="3" t="s">
        <v>14</v>
      </c>
      <c r="P34" s="3"/>
      <c r="Q34" s="3" t="s">
        <v>18</v>
      </c>
      <c r="R34" s="3">
        <v>2</v>
      </c>
      <c r="S34" s="3" t="s">
        <v>15</v>
      </c>
      <c r="T34" s="3"/>
      <c r="U34" s="3" t="s">
        <v>552</v>
      </c>
      <c r="V34" s="3" t="s">
        <v>551</v>
      </c>
    </row>
    <row r="35" spans="2:22" s="2" customFormat="1" ht="18" hidden="1" customHeight="1" x14ac:dyDescent="0.2">
      <c r="B35" s="12">
        <f t="shared" si="2"/>
        <v>30</v>
      </c>
      <c r="C35" s="3" t="s">
        <v>36</v>
      </c>
      <c r="D35" s="3">
        <v>510000152</v>
      </c>
      <c r="E35" s="20" t="str">
        <f t="shared" si="0"/>
        <v>510000152</v>
      </c>
      <c r="F35" s="20"/>
      <c r="G35" s="20"/>
      <c r="H35" s="35">
        <v>510000152</v>
      </c>
      <c r="I35" s="3" t="s">
        <v>11</v>
      </c>
      <c r="J35" s="3" t="s">
        <v>53</v>
      </c>
      <c r="K35" s="20" t="s">
        <v>419</v>
      </c>
      <c r="L35" s="35"/>
      <c r="M35" s="20"/>
      <c r="N35" s="3" t="s">
        <v>54</v>
      </c>
      <c r="O35" s="3" t="s">
        <v>14</v>
      </c>
      <c r="P35" s="3"/>
      <c r="Q35" s="3" t="s">
        <v>55</v>
      </c>
      <c r="R35" s="3">
        <v>4</v>
      </c>
      <c r="S35" s="3" t="s">
        <v>15</v>
      </c>
      <c r="T35" s="3"/>
      <c r="U35" s="3" t="s">
        <v>568</v>
      </c>
      <c r="V35" s="3" t="s">
        <v>568</v>
      </c>
    </row>
    <row r="36" spans="2:22" s="2" customFormat="1" ht="18" hidden="1" customHeight="1" x14ac:dyDescent="0.2">
      <c r="B36" s="12">
        <f t="shared" si="2"/>
        <v>31</v>
      </c>
      <c r="C36" s="3" t="s">
        <v>36</v>
      </c>
      <c r="D36" s="3">
        <v>5101302</v>
      </c>
      <c r="E36" s="20" t="str">
        <f t="shared" si="0"/>
        <v>5101302</v>
      </c>
      <c r="F36" s="20"/>
      <c r="G36" s="20"/>
      <c r="H36" s="35">
        <v>5101302</v>
      </c>
      <c r="I36" s="3" t="s">
        <v>11</v>
      </c>
      <c r="J36" s="3" t="s">
        <v>56</v>
      </c>
      <c r="K36" s="20" t="s">
        <v>420</v>
      </c>
      <c r="L36" s="35"/>
      <c r="M36" s="20"/>
      <c r="N36" s="3" t="s">
        <v>57</v>
      </c>
      <c r="O36" s="3" t="s">
        <v>14</v>
      </c>
      <c r="P36" s="3"/>
      <c r="Q36" s="3" t="s">
        <v>21</v>
      </c>
      <c r="R36" s="3">
        <v>1</v>
      </c>
      <c r="S36" s="3" t="s">
        <v>15</v>
      </c>
      <c r="T36" s="3"/>
      <c r="U36" s="3" t="s">
        <v>551</v>
      </c>
      <c r="V36" s="3" t="s">
        <v>552</v>
      </c>
    </row>
    <row r="37" spans="2:22" s="2" customFormat="1" ht="18" hidden="1" customHeight="1" x14ac:dyDescent="0.2">
      <c r="B37" s="12">
        <f t="shared" si="2"/>
        <v>32</v>
      </c>
      <c r="C37" s="3" t="s">
        <v>36</v>
      </c>
      <c r="D37" s="3">
        <v>5101522</v>
      </c>
      <c r="E37" s="20" t="str">
        <f t="shared" si="0"/>
        <v>5101522</v>
      </c>
      <c r="F37" s="20"/>
      <c r="G37" s="20"/>
      <c r="H37" s="35">
        <v>5101522</v>
      </c>
      <c r="I37" s="3" t="s">
        <v>11</v>
      </c>
      <c r="J37" s="3" t="s">
        <v>58</v>
      </c>
      <c r="K37" s="20" t="s">
        <v>421</v>
      </c>
      <c r="L37" s="35"/>
      <c r="M37" s="20"/>
      <c r="N37" s="3" t="s">
        <v>59</v>
      </c>
      <c r="O37" s="3" t="s">
        <v>14</v>
      </c>
      <c r="P37" s="3"/>
      <c r="Q37" s="3" t="s">
        <v>55</v>
      </c>
      <c r="R37" s="3">
        <v>4</v>
      </c>
      <c r="S37" s="3" t="s">
        <v>15</v>
      </c>
      <c r="T37" s="3"/>
      <c r="U37" s="3" t="s">
        <v>571</v>
      </c>
      <c r="V37" s="3" t="s">
        <v>552</v>
      </c>
    </row>
    <row r="38" spans="2:22" s="2" customFormat="1" ht="18" hidden="1" customHeight="1" x14ac:dyDescent="0.2">
      <c r="B38" s="12">
        <f t="shared" si="2"/>
        <v>33</v>
      </c>
      <c r="C38" s="3" t="s">
        <v>36</v>
      </c>
      <c r="D38" s="3">
        <v>5101967</v>
      </c>
      <c r="E38" s="20" t="str">
        <f t="shared" si="0"/>
        <v>5101967</v>
      </c>
      <c r="F38" s="20"/>
      <c r="G38" s="20"/>
      <c r="H38" s="35">
        <v>5101967</v>
      </c>
      <c r="I38" s="3" t="s">
        <v>11</v>
      </c>
      <c r="J38" s="3" t="s">
        <v>60</v>
      </c>
      <c r="K38" s="20" t="s">
        <v>422</v>
      </c>
      <c r="L38" s="35"/>
      <c r="M38" s="20"/>
      <c r="N38" s="3" t="s">
        <v>61</v>
      </c>
      <c r="O38" s="3" t="s">
        <v>14</v>
      </c>
      <c r="P38" s="3"/>
      <c r="Q38" s="3" t="s">
        <v>18</v>
      </c>
      <c r="R38" s="3">
        <v>2</v>
      </c>
      <c r="S38" s="3" t="s">
        <v>15</v>
      </c>
      <c r="T38" s="3"/>
      <c r="U38" s="3" t="s">
        <v>552</v>
      </c>
      <c r="V38" s="3" t="s">
        <v>568</v>
      </c>
    </row>
    <row r="39" spans="2:22" s="2" customFormat="1" ht="18" hidden="1" customHeight="1" x14ac:dyDescent="0.2">
      <c r="B39" s="12">
        <f t="shared" si="2"/>
        <v>34</v>
      </c>
      <c r="C39" s="3" t="s">
        <v>36</v>
      </c>
      <c r="D39" s="3">
        <v>7700325</v>
      </c>
      <c r="E39" s="20" t="str">
        <f t="shared" si="0"/>
        <v>7700325</v>
      </c>
      <c r="F39" s="20"/>
      <c r="G39" s="20"/>
      <c r="H39" s="35">
        <v>7700325</v>
      </c>
      <c r="I39" s="3" t="s">
        <v>11</v>
      </c>
      <c r="J39" s="3" t="s">
        <v>62</v>
      </c>
      <c r="K39" s="20" t="s">
        <v>423</v>
      </c>
      <c r="L39" s="35"/>
      <c r="M39" s="20"/>
      <c r="N39" s="3" t="s">
        <v>63</v>
      </c>
      <c r="O39" s="3" t="s">
        <v>14</v>
      </c>
      <c r="P39" s="3"/>
      <c r="Q39" s="3" t="s">
        <v>64</v>
      </c>
      <c r="R39" s="3">
        <v>0.8</v>
      </c>
      <c r="S39" s="3" t="s">
        <v>15</v>
      </c>
      <c r="T39" s="3"/>
      <c r="U39" s="3" t="s">
        <v>552</v>
      </c>
      <c r="V39" s="3" t="s">
        <v>575</v>
      </c>
    </row>
    <row r="40" spans="2:22" s="1" customFormat="1" ht="18" hidden="1" customHeight="1" x14ac:dyDescent="0.2">
      <c r="B40" s="12">
        <f t="shared" si="2"/>
        <v>35</v>
      </c>
      <c r="C40" s="3" t="s">
        <v>22</v>
      </c>
      <c r="D40" s="3">
        <v>190002360</v>
      </c>
      <c r="E40" s="20" t="str">
        <f t="shared" si="0"/>
        <v>190002360</v>
      </c>
      <c r="F40" s="20"/>
      <c r="G40" s="20"/>
      <c r="H40" s="35">
        <v>190002360</v>
      </c>
      <c r="I40" s="3" t="s">
        <v>11</v>
      </c>
      <c r="J40" s="3" t="s">
        <v>29</v>
      </c>
      <c r="K40" s="20" t="s">
        <v>412</v>
      </c>
      <c r="L40" s="35"/>
      <c r="M40" s="20"/>
      <c r="N40" s="3" t="s">
        <v>67</v>
      </c>
      <c r="O40" s="3" t="s">
        <v>68</v>
      </c>
      <c r="P40" s="3"/>
      <c r="Q40" s="3" t="s">
        <v>21</v>
      </c>
      <c r="R40" s="3">
        <v>1</v>
      </c>
      <c r="S40" s="3" t="s">
        <v>15</v>
      </c>
      <c r="T40" s="3"/>
      <c r="U40" s="3" t="s">
        <v>552</v>
      </c>
      <c r="V40" s="3" t="s">
        <v>552</v>
      </c>
    </row>
    <row r="41" spans="2:22" s="2" customFormat="1" ht="18" hidden="1" customHeight="1" x14ac:dyDescent="0.2">
      <c r="B41" s="12">
        <f t="shared" si="2"/>
        <v>36</v>
      </c>
      <c r="C41" s="3" t="s">
        <v>22</v>
      </c>
      <c r="D41" s="3">
        <v>500000271</v>
      </c>
      <c r="E41" s="20" t="str">
        <f t="shared" si="0"/>
        <v>500000271</v>
      </c>
      <c r="F41" s="20"/>
      <c r="G41" s="20"/>
      <c r="H41" s="35">
        <v>500000271</v>
      </c>
      <c r="I41" s="3" t="s">
        <v>11</v>
      </c>
      <c r="J41" s="3" t="s">
        <v>23</v>
      </c>
      <c r="K41" s="20" t="s">
        <v>410</v>
      </c>
      <c r="L41" s="35"/>
      <c r="M41" s="20"/>
      <c r="N41" s="3" t="s">
        <v>69</v>
      </c>
      <c r="O41" s="3" t="s">
        <v>70</v>
      </c>
      <c r="P41" s="3"/>
      <c r="Q41" s="3" t="s">
        <v>18</v>
      </c>
      <c r="R41" s="3">
        <v>2</v>
      </c>
      <c r="S41" s="3" t="s">
        <v>15</v>
      </c>
      <c r="T41" s="3"/>
      <c r="U41" s="3" t="s">
        <v>552</v>
      </c>
      <c r="V41" s="3" t="s">
        <v>552</v>
      </c>
    </row>
    <row r="42" spans="2:22" s="2" customFormat="1" ht="18" hidden="1" customHeight="1" x14ac:dyDescent="0.2">
      <c r="B42" s="12">
        <f t="shared" si="2"/>
        <v>37</v>
      </c>
      <c r="C42" s="3" t="s">
        <v>22</v>
      </c>
      <c r="D42" s="3">
        <v>500001392</v>
      </c>
      <c r="E42" s="20" t="str">
        <f t="shared" si="0"/>
        <v>500001392</v>
      </c>
      <c r="F42" s="20"/>
      <c r="G42" s="20"/>
      <c r="H42" s="35">
        <v>500001392</v>
      </c>
      <c r="I42" s="3" t="s">
        <v>11</v>
      </c>
      <c r="J42" s="3" t="s">
        <v>23</v>
      </c>
      <c r="K42" s="20" t="s">
        <v>410</v>
      </c>
      <c r="L42" s="35"/>
      <c r="M42" s="20"/>
      <c r="N42" s="3" t="s">
        <v>71</v>
      </c>
      <c r="O42" s="3" t="s">
        <v>72</v>
      </c>
      <c r="P42" s="3"/>
      <c r="Q42" s="3" t="s">
        <v>21</v>
      </c>
      <c r="R42" s="3">
        <v>1</v>
      </c>
      <c r="S42" s="3" t="s">
        <v>15</v>
      </c>
      <c r="T42" s="3"/>
      <c r="U42" s="3" t="s">
        <v>552</v>
      </c>
      <c r="V42" s="3" t="s">
        <v>552</v>
      </c>
    </row>
    <row r="43" spans="2:22" s="2" customFormat="1" ht="18" hidden="1" customHeight="1" x14ac:dyDescent="0.2">
      <c r="B43" s="12">
        <f t="shared" si="2"/>
        <v>38</v>
      </c>
      <c r="C43" s="3" t="s">
        <v>22</v>
      </c>
      <c r="D43" s="3">
        <v>5001419</v>
      </c>
      <c r="E43" s="20" t="str">
        <f t="shared" si="0"/>
        <v>5001419</v>
      </c>
      <c r="F43" s="20"/>
      <c r="G43" s="20"/>
      <c r="H43" s="35">
        <v>5001419</v>
      </c>
      <c r="I43" s="3" t="s">
        <v>11</v>
      </c>
      <c r="J43" s="3" t="s">
        <v>60</v>
      </c>
      <c r="K43" s="20" t="s">
        <v>422</v>
      </c>
      <c r="L43" s="35"/>
      <c r="M43" s="20"/>
      <c r="N43" s="3" t="s">
        <v>73</v>
      </c>
      <c r="O43" s="3" t="s">
        <v>14</v>
      </c>
      <c r="P43" s="3"/>
      <c r="Q43" s="3" t="s">
        <v>74</v>
      </c>
      <c r="R43" s="3">
        <v>3</v>
      </c>
      <c r="S43" s="3" t="s">
        <v>15</v>
      </c>
      <c r="T43" s="3"/>
      <c r="U43" s="3" t="s">
        <v>552</v>
      </c>
      <c r="V43" s="3" t="s">
        <v>552</v>
      </c>
    </row>
    <row r="44" spans="2:22" s="2" customFormat="1" ht="18" hidden="1" customHeight="1" x14ac:dyDescent="0.2">
      <c r="B44" s="12">
        <f t="shared" si="2"/>
        <v>39</v>
      </c>
      <c r="C44" s="3" t="s">
        <v>22</v>
      </c>
      <c r="D44" s="3">
        <v>5001479</v>
      </c>
      <c r="E44" s="20" t="str">
        <f t="shared" si="0"/>
        <v>5001479</v>
      </c>
      <c r="F44" s="20"/>
      <c r="G44" s="20"/>
      <c r="H44" s="35">
        <v>5001479</v>
      </c>
      <c r="I44" s="3" t="s">
        <v>11</v>
      </c>
      <c r="J44" s="3" t="s">
        <v>29</v>
      </c>
      <c r="K44" s="20" t="s">
        <v>425</v>
      </c>
      <c r="L44" s="35"/>
      <c r="M44" s="20"/>
      <c r="N44" s="3" t="s">
        <v>75</v>
      </c>
      <c r="O44" s="3" t="s">
        <v>76</v>
      </c>
      <c r="P44" s="3"/>
      <c r="Q44" s="3" t="s">
        <v>55</v>
      </c>
      <c r="R44" s="3">
        <v>4</v>
      </c>
      <c r="S44" s="3" t="s">
        <v>38</v>
      </c>
      <c r="T44" s="3"/>
      <c r="U44" s="3" t="s">
        <v>346</v>
      </c>
      <c r="V44" s="3" t="s">
        <v>552</v>
      </c>
    </row>
    <row r="45" spans="2:22" s="2" customFormat="1" ht="18" customHeight="1" x14ac:dyDescent="0.2">
      <c r="B45" s="19" t="str">
        <f>"39-1"</f>
        <v>39-1</v>
      </c>
      <c r="C45" s="18">
        <v>2</v>
      </c>
      <c r="D45" s="18">
        <v>600001344</v>
      </c>
      <c r="E45" s="20" t="str">
        <f t="shared" si="0"/>
        <v>600001344</v>
      </c>
      <c r="F45" s="20"/>
      <c r="G45" s="20"/>
      <c r="H45" s="35" t="e">
        <v>#N/A</v>
      </c>
      <c r="I45" s="18" t="s">
        <v>11</v>
      </c>
      <c r="J45" s="18"/>
      <c r="K45" s="18" t="s">
        <v>576</v>
      </c>
      <c r="L45" s="35" t="s">
        <v>577</v>
      </c>
      <c r="M45" s="18" t="s">
        <v>578</v>
      </c>
      <c r="N45" s="18" t="s">
        <v>579</v>
      </c>
      <c r="O45" s="18"/>
      <c r="P45" s="18"/>
      <c r="Q45" s="18" t="s">
        <v>33</v>
      </c>
      <c r="R45" s="18"/>
      <c r="S45" s="18"/>
      <c r="T45" s="18"/>
      <c r="U45" s="18"/>
      <c r="V45" s="18"/>
    </row>
    <row r="46" spans="2:22" s="2" customFormat="1" ht="18" hidden="1" customHeight="1" x14ac:dyDescent="0.2">
      <c r="B46" s="12">
        <f>B44+1</f>
        <v>40</v>
      </c>
      <c r="C46" s="3" t="s">
        <v>22</v>
      </c>
      <c r="D46" s="3">
        <v>6500749</v>
      </c>
      <c r="E46" s="20" t="str">
        <f t="shared" si="0"/>
        <v>6500749</v>
      </c>
      <c r="F46" s="20"/>
      <c r="G46" s="20"/>
      <c r="H46" s="35">
        <v>6500749</v>
      </c>
      <c r="I46" s="3" t="s">
        <v>11</v>
      </c>
      <c r="J46" s="3" t="s">
        <v>23</v>
      </c>
      <c r="K46" s="20" t="s">
        <v>410</v>
      </c>
      <c r="L46" s="35"/>
      <c r="M46" s="20"/>
      <c r="N46" s="3" t="s">
        <v>580</v>
      </c>
      <c r="O46" s="3" t="s">
        <v>77</v>
      </c>
      <c r="P46" s="3"/>
      <c r="Q46" s="3" t="s">
        <v>74</v>
      </c>
      <c r="R46" s="3">
        <v>3</v>
      </c>
      <c r="S46" s="3" t="s">
        <v>15</v>
      </c>
      <c r="T46" s="3"/>
      <c r="U46" s="3" t="s">
        <v>552</v>
      </c>
      <c r="V46" s="3" t="s">
        <v>552</v>
      </c>
    </row>
    <row r="47" spans="2:22" s="2" customFormat="1" ht="18" hidden="1" customHeight="1" x14ac:dyDescent="0.2">
      <c r="B47" s="15">
        <f t="shared" ref="B47:B72" si="3">B46+1</f>
        <v>41</v>
      </c>
      <c r="C47" s="11" t="s">
        <v>16</v>
      </c>
      <c r="D47" s="11">
        <v>110037820</v>
      </c>
      <c r="E47" s="20" t="str">
        <f t="shared" si="0"/>
        <v>110037820</v>
      </c>
      <c r="F47" s="20"/>
      <c r="G47" s="20"/>
      <c r="H47" s="35">
        <v>110037820</v>
      </c>
      <c r="I47" s="11" t="s">
        <v>11</v>
      </c>
      <c r="J47" s="11" t="s">
        <v>78</v>
      </c>
      <c r="K47" s="11" t="s">
        <v>426</v>
      </c>
      <c r="L47" s="35"/>
      <c r="M47" s="11"/>
      <c r="N47" s="11" t="s">
        <v>79</v>
      </c>
      <c r="O47" s="11" t="s">
        <v>14</v>
      </c>
      <c r="P47" s="11"/>
      <c r="Q47" s="11" t="s">
        <v>21</v>
      </c>
      <c r="R47" s="11">
        <v>1</v>
      </c>
      <c r="S47" s="11" t="s">
        <v>38</v>
      </c>
      <c r="T47" s="11"/>
      <c r="U47" s="11" t="s">
        <v>354</v>
      </c>
      <c r="V47" s="11" t="s">
        <v>354</v>
      </c>
    </row>
    <row r="48" spans="2:22" s="1" customFormat="1" ht="18" hidden="1" customHeight="1" x14ac:dyDescent="0.2">
      <c r="B48" s="12">
        <f t="shared" si="3"/>
        <v>42</v>
      </c>
      <c r="C48" s="3" t="s">
        <v>22</v>
      </c>
      <c r="D48" s="3">
        <v>170068080</v>
      </c>
      <c r="E48" s="20" t="str">
        <f t="shared" si="0"/>
        <v>170068080</v>
      </c>
      <c r="F48" s="20"/>
      <c r="G48" s="20"/>
      <c r="H48" s="35">
        <v>170068080</v>
      </c>
      <c r="I48" s="3" t="s">
        <v>11</v>
      </c>
      <c r="J48" s="3" t="s">
        <v>60</v>
      </c>
      <c r="K48" s="20" t="s">
        <v>422</v>
      </c>
      <c r="L48" s="35"/>
      <c r="M48" s="20"/>
      <c r="N48" s="3" t="s">
        <v>80</v>
      </c>
      <c r="O48" s="3" t="s">
        <v>68</v>
      </c>
      <c r="P48" s="3"/>
      <c r="Q48" s="3" t="s">
        <v>21</v>
      </c>
      <c r="R48" s="3">
        <v>1</v>
      </c>
      <c r="S48" s="3" t="s">
        <v>15</v>
      </c>
      <c r="T48" s="3"/>
      <c r="U48" s="3" t="s">
        <v>346</v>
      </c>
      <c r="V48" s="3" t="s">
        <v>396</v>
      </c>
    </row>
    <row r="49" spans="2:22" s="1" customFormat="1" ht="18" hidden="1" customHeight="1" x14ac:dyDescent="0.2">
      <c r="B49" s="12">
        <f t="shared" si="3"/>
        <v>43</v>
      </c>
      <c r="C49" s="3" t="s">
        <v>22</v>
      </c>
      <c r="D49" s="3">
        <v>170068090</v>
      </c>
      <c r="E49" s="20" t="str">
        <f t="shared" si="0"/>
        <v>170068090</v>
      </c>
      <c r="F49" s="20"/>
      <c r="G49" s="20"/>
      <c r="H49" s="35">
        <v>170068090</v>
      </c>
      <c r="I49" s="3" t="s">
        <v>11</v>
      </c>
      <c r="J49" s="3" t="s">
        <v>60</v>
      </c>
      <c r="K49" s="20" t="s">
        <v>422</v>
      </c>
      <c r="L49" s="35"/>
      <c r="M49" s="20"/>
      <c r="N49" s="3" t="s">
        <v>81</v>
      </c>
      <c r="O49" s="3" t="s">
        <v>70</v>
      </c>
      <c r="P49" s="3"/>
      <c r="Q49" s="3" t="s">
        <v>21</v>
      </c>
      <c r="R49" s="3">
        <v>1</v>
      </c>
      <c r="S49" s="3" t="s">
        <v>15</v>
      </c>
      <c r="T49" s="3"/>
      <c r="U49" s="3" t="s">
        <v>346</v>
      </c>
      <c r="V49" s="3" t="s">
        <v>396</v>
      </c>
    </row>
    <row r="50" spans="2:22" s="1" customFormat="1" ht="18" hidden="1" customHeight="1" x14ac:dyDescent="0.2">
      <c r="B50" s="12">
        <f t="shared" si="3"/>
        <v>44</v>
      </c>
      <c r="C50" s="3" t="s">
        <v>22</v>
      </c>
      <c r="D50" s="3">
        <v>170068100</v>
      </c>
      <c r="E50" s="20" t="str">
        <f t="shared" si="0"/>
        <v>170068100</v>
      </c>
      <c r="F50" s="20"/>
      <c r="G50" s="20"/>
      <c r="H50" s="35">
        <v>170068100</v>
      </c>
      <c r="I50" s="3" t="s">
        <v>11</v>
      </c>
      <c r="J50" s="3" t="s">
        <v>60</v>
      </c>
      <c r="K50" s="20" t="s">
        <v>422</v>
      </c>
      <c r="L50" s="35"/>
      <c r="M50" s="20"/>
      <c r="N50" s="3" t="s">
        <v>82</v>
      </c>
      <c r="O50" s="3" t="s">
        <v>83</v>
      </c>
      <c r="P50" s="3"/>
      <c r="Q50" s="3" t="s">
        <v>21</v>
      </c>
      <c r="R50" s="3">
        <v>1</v>
      </c>
      <c r="S50" s="3" t="s">
        <v>15</v>
      </c>
      <c r="T50" s="3"/>
      <c r="U50" s="3" t="s">
        <v>346</v>
      </c>
      <c r="V50" s="3" t="s">
        <v>396</v>
      </c>
    </row>
    <row r="51" spans="2:22" s="2" customFormat="1" ht="18" hidden="1" customHeight="1" x14ac:dyDescent="0.2">
      <c r="B51" s="12">
        <f t="shared" si="3"/>
        <v>45</v>
      </c>
      <c r="C51" s="3" t="s">
        <v>22</v>
      </c>
      <c r="D51" s="3">
        <v>170151859</v>
      </c>
      <c r="E51" s="20" t="str">
        <f t="shared" si="0"/>
        <v>170151859</v>
      </c>
      <c r="F51" s="20"/>
      <c r="G51" s="20"/>
      <c r="H51" s="35">
        <v>170151859</v>
      </c>
      <c r="I51" s="3" t="s">
        <v>11</v>
      </c>
      <c r="J51" s="3" t="s">
        <v>23</v>
      </c>
      <c r="K51" s="20" t="s">
        <v>410</v>
      </c>
      <c r="L51" s="35"/>
      <c r="M51" s="20"/>
      <c r="N51" s="3" t="s">
        <v>359</v>
      </c>
      <c r="O51" s="3" t="s">
        <v>85</v>
      </c>
      <c r="P51" s="3"/>
      <c r="Q51" s="3" t="s">
        <v>21</v>
      </c>
      <c r="R51" s="3">
        <v>1</v>
      </c>
      <c r="S51" s="3" t="s">
        <v>15</v>
      </c>
      <c r="T51" s="3"/>
      <c r="U51" s="3" t="s">
        <v>393</v>
      </c>
      <c r="V51" s="3" t="s">
        <v>344</v>
      </c>
    </row>
    <row r="52" spans="2:22" s="2" customFormat="1" ht="18" hidden="1" customHeight="1" x14ac:dyDescent="0.2">
      <c r="B52" s="12">
        <f t="shared" si="3"/>
        <v>46</v>
      </c>
      <c r="C52" s="3" t="s">
        <v>22</v>
      </c>
      <c r="D52" s="3">
        <v>170216077</v>
      </c>
      <c r="E52" s="20" t="str">
        <f t="shared" si="0"/>
        <v>170216077</v>
      </c>
      <c r="F52" s="20"/>
      <c r="G52" s="20"/>
      <c r="H52" s="35">
        <v>170216077</v>
      </c>
      <c r="I52" s="3" t="s">
        <v>11</v>
      </c>
      <c r="J52" s="3" t="s">
        <v>53</v>
      </c>
      <c r="K52" s="20" t="s">
        <v>419</v>
      </c>
      <c r="L52" s="35"/>
      <c r="M52" s="20"/>
      <c r="N52" s="3" t="s">
        <v>86</v>
      </c>
      <c r="O52" s="3" t="s">
        <v>14</v>
      </c>
      <c r="P52" s="3"/>
      <c r="Q52" s="3" t="s">
        <v>21</v>
      </c>
      <c r="R52" s="3">
        <v>1</v>
      </c>
      <c r="S52" s="3" t="s">
        <v>15</v>
      </c>
      <c r="T52" s="3"/>
      <c r="U52" s="3" t="s">
        <v>393</v>
      </c>
      <c r="V52" s="3" t="s">
        <v>360</v>
      </c>
    </row>
    <row r="53" spans="2:22" s="2" customFormat="1" ht="18" hidden="1" customHeight="1" x14ac:dyDescent="0.2">
      <c r="B53" s="12">
        <f t="shared" si="3"/>
        <v>47</v>
      </c>
      <c r="C53" s="3" t="s">
        <v>22</v>
      </c>
      <c r="D53" s="3">
        <v>190005028</v>
      </c>
      <c r="E53" s="20" t="str">
        <f t="shared" si="0"/>
        <v>190005028</v>
      </c>
      <c r="F53" s="20"/>
      <c r="G53" s="20"/>
      <c r="H53" s="35">
        <v>190005028</v>
      </c>
      <c r="I53" s="3" t="s">
        <v>11</v>
      </c>
      <c r="J53" s="3" t="s">
        <v>23</v>
      </c>
      <c r="K53" s="20" t="s">
        <v>410</v>
      </c>
      <c r="L53" s="35"/>
      <c r="M53" s="20"/>
      <c r="N53" s="3" t="s">
        <v>87</v>
      </c>
      <c r="O53" s="3" t="s">
        <v>88</v>
      </c>
      <c r="P53" s="3"/>
      <c r="Q53" s="3" t="s">
        <v>21</v>
      </c>
      <c r="R53" s="3">
        <v>1</v>
      </c>
      <c r="S53" s="3" t="s">
        <v>15</v>
      </c>
      <c r="T53" s="3"/>
      <c r="U53" s="3" t="s">
        <v>346</v>
      </c>
      <c r="V53" s="3" t="s">
        <v>346</v>
      </c>
    </row>
    <row r="54" spans="2:22" s="2" customFormat="1" ht="18" hidden="1" customHeight="1" x14ac:dyDescent="0.2">
      <c r="B54" s="12">
        <f t="shared" si="3"/>
        <v>48</v>
      </c>
      <c r="C54" s="3" t="s">
        <v>22</v>
      </c>
      <c r="D54" s="3">
        <v>300000252</v>
      </c>
      <c r="E54" s="20" t="str">
        <f t="shared" si="0"/>
        <v>300000252</v>
      </c>
      <c r="F54" s="20"/>
      <c r="G54" s="20"/>
      <c r="H54" s="35">
        <v>300000252</v>
      </c>
      <c r="I54" s="3" t="s">
        <v>11</v>
      </c>
      <c r="J54" s="3" t="s">
        <v>29</v>
      </c>
      <c r="K54" s="20" t="s">
        <v>412</v>
      </c>
      <c r="L54" s="35"/>
      <c r="M54" s="20"/>
      <c r="N54" s="3" t="s">
        <v>89</v>
      </c>
      <c r="O54" s="3" t="s">
        <v>90</v>
      </c>
      <c r="P54" s="3"/>
      <c r="Q54" s="3" t="s">
        <v>21</v>
      </c>
      <c r="R54" s="3">
        <v>1</v>
      </c>
      <c r="S54" s="3" t="s">
        <v>15</v>
      </c>
      <c r="T54" s="3"/>
      <c r="U54" s="3" t="s">
        <v>346</v>
      </c>
      <c r="V54" s="3" t="s">
        <v>346</v>
      </c>
    </row>
    <row r="55" spans="2:22" s="2" customFormat="1" ht="18" hidden="1" customHeight="1" x14ac:dyDescent="0.2">
      <c r="B55" s="12">
        <f t="shared" si="3"/>
        <v>49</v>
      </c>
      <c r="C55" s="3" t="s">
        <v>22</v>
      </c>
      <c r="D55" s="3">
        <v>3400167</v>
      </c>
      <c r="E55" s="20" t="str">
        <f t="shared" si="0"/>
        <v>3400167</v>
      </c>
      <c r="F55" s="20"/>
      <c r="G55" s="20"/>
      <c r="H55" s="35">
        <v>3400167</v>
      </c>
      <c r="I55" s="3" t="s">
        <v>11</v>
      </c>
      <c r="J55" s="3" t="s">
        <v>91</v>
      </c>
      <c r="K55" s="20" t="s">
        <v>427</v>
      </c>
      <c r="L55" s="35"/>
      <c r="M55" s="20"/>
      <c r="N55" s="3" t="s">
        <v>92</v>
      </c>
      <c r="O55" s="3" t="s">
        <v>93</v>
      </c>
      <c r="P55" s="3"/>
      <c r="Q55" s="3" t="s">
        <v>18</v>
      </c>
      <c r="R55" s="3">
        <v>2</v>
      </c>
      <c r="S55" s="3" t="s">
        <v>15</v>
      </c>
      <c r="T55" s="3"/>
      <c r="U55" s="3" t="s">
        <v>548</v>
      </c>
      <c r="V55" s="3" t="s">
        <v>568</v>
      </c>
    </row>
    <row r="56" spans="2:22" s="2" customFormat="1" ht="18" hidden="1" customHeight="1" x14ac:dyDescent="0.2">
      <c r="B56" s="12">
        <f t="shared" si="3"/>
        <v>50</v>
      </c>
      <c r="C56" s="3" t="s">
        <v>22</v>
      </c>
      <c r="D56" s="3">
        <v>4300505</v>
      </c>
      <c r="E56" s="20" t="str">
        <f t="shared" si="0"/>
        <v>4300505</v>
      </c>
      <c r="F56" s="20"/>
      <c r="G56" s="20"/>
      <c r="H56" s="35">
        <v>4300505</v>
      </c>
      <c r="I56" s="3" t="s">
        <v>11</v>
      </c>
      <c r="J56" s="3" t="s">
        <v>94</v>
      </c>
      <c r="K56" s="20" t="s">
        <v>428</v>
      </c>
      <c r="L56" s="35"/>
      <c r="M56" s="20"/>
      <c r="N56" s="3" t="s">
        <v>95</v>
      </c>
      <c r="O56" s="3" t="s">
        <v>96</v>
      </c>
      <c r="P56" s="3"/>
      <c r="Q56" s="3" t="s">
        <v>18</v>
      </c>
      <c r="R56" s="3">
        <v>2</v>
      </c>
      <c r="S56" s="3" t="s">
        <v>38</v>
      </c>
      <c r="T56" s="3"/>
      <c r="U56" s="3" t="s">
        <v>547</v>
      </c>
      <c r="V56" s="3" t="s">
        <v>547</v>
      </c>
    </row>
    <row r="57" spans="2:22" s="2" customFormat="1" ht="18" hidden="1" customHeight="1" x14ac:dyDescent="0.2">
      <c r="B57" s="12">
        <f t="shared" si="3"/>
        <v>51</v>
      </c>
      <c r="C57" s="3" t="s">
        <v>22</v>
      </c>
      <c r="D57" s="3">
        <v>4300755</v>
      </c>
      <c r="E57" s="20" t="str">
        <f t="shared" si="0"/>
        <v>4300755</v>
      </c>
      <c r="F57" s="20"/>
      <c r="G57" s="20"/>
      <c r="H57" s="35">
        <v>4300755</v>
      </c>
      <c r="I57" s="3" t="s">
        <v>11</v>
      </c>
      <c r="J57" s="3" t="s">
        <v>39</v>
      </c>
      <c r="K57" s="20" t="s">
        <v>429</v>
      </c>
      <c r="L57" s="35"/>
      <c r="M57" s="20"/>
      <c r="N57" s="3" t="s">
        <v>97</v>
      </c>
      <c r="O57" s="3" t="s">
        <v>72</v>
      </c>
      <c r="P57" s="3"/>
      <c r="Q57" s="3" t="s">
        <v>18</v>
      </c>
      <c r="R57" s="3">
        <v>2</v>
      </c>
      <c r="S57" s="3" t="s">
        <v>38</v>
      </c>
      <c r="T57" s="3"/>
      <c r="U57" s="3" t="s">
        <v>581</v>
      </c>
      <c r="V57" s="3" t="s">
        <v>568</v>
      </c>
    </row>
    <row r="58" spans="2:22" s="2" customFormat="1" ht="18" hidden="1" customHeight="1" x14ac:dyDescent="0.2">
      <c r="B58" s="15">
        <f t="shared" si="3"/>
        <v>52</v>
      </c>
      <c r="C58" s="11" t="s">
        <v>16</v>
      </c>
      <c r="D58" s="11">
        <v>110144580</v>
      </c>
      <c r="E58" s="20" t="str">
        <f t="shared" si="0"/>
        <v>110144580</v>
      </c>
      <c r="F58" s="20"/>
      <c r="G58" s="20"/>
      <c r="H58" s="35">
        <v>110144580</v>
      </c>
      <c r="I58" s="11" t="s">
        <v>11</v>
      </c>
      <c r="J58" s="11" t="s">
        <v>98</v>
      </c>
      <c r="K58" s="11" t="s">
        <v>430</v>
      </c>
      <c r="L58" s="35"/>
      <c r="M58" s="11"/>
      <c r="N58" s="11" t="s">
        <v>99</v>
      </c>
      <c r="O58" s="11" t="s">
        <v>14</v>
      </c>
      <c r="P58" s="11"/>
      <c r="Q58" s="11" t="s">
        <v>21</v>
      </c>
      <c r="R58" s="11">
        <v>1</v>
      </c>
      <c r="S58" s="11" t="s">
        <v>38</v>
      </c>
      <c r="T58" s="11"/>
      <c r="U58" s="11" t="s">
        <v>566</v>
      </c>
      <c r="V58" s="11" t="s">
        <v>582</v>
      </c>
    </row>
    <row r="59" spans="2:22" s="1" customFormat="1" ht="18" hidden="1" customHeight="1" x14ac:dyDescent="0.2">
      <c r="B59" s="12">
        <f t="shared" si="3"/>
        <v>53</v>
      </c>
      <c r="C59" s="3" t="s">
        <v>22</v>
      </c>
      <c r="D59" s="3">
        <v>170168745</v>
      </c>
      <c r="E59" s="20" t="str">
        <f t="shared" si="0"/>
        <v>170168745</v>
      </c>
      <c r="F59" s="20"/>
      <c r="G59" s="20"/>
      <c r="H59" s="35">
        <v>170168745</v>
      </c>
      <c r="I59" s="3" t="s">
        <v>11</v>
      </c>
      <c r="J59" s="3" t="s">
        <v>100</v>
      </c>
      <c r="K59" s="20" t="s">
        <v>431</v>
      </c>
      <c r="L59" s="35"/>
      <c r="M59" s="20"/>
      <c r="N59" s="3" t="s">
        <v>101</v>
      </c>
      <c r="O59" s="3" t="s">
        <v>14</v>
      </c>
      <c r="P59" s="3"/>
      <c r="Q59" s="3" t="s">
        <v>21</v>
      </c>
      <c r="R59" s="3">
        <v>1</v>
      </c>
      <c r="S59" s="3" t="s">
        <v>15</v>
      </c>
      <c r="T59" s="3"/>
      <c r="U59" s="3" t="s">
        <v>552</v>
      </c>
      <c r="V59" s="3" t="s">
        <v>583</v>
      </c>
    </row>
    <row r="60" spans="2:22" s="1" customFormat="1" ht="18" hidden="1" customHeight="1" x14ac:dyDescent="0.2">
      <c r="B60" s="12">
        <f t="shared" si="3"/>
        <v>54</v>
      </c>
      <c r="C60" s="3" t="s">
        <v>22</v>
      </c>
      <c r="D60" s="3">
        <v>170168754</v>
      </c>
      <c r="E60" s="20" t="str">
        <f t="shared" si="0"/>
        <v>170168754</v>
      </c>
      <c r="F60" s="20"/>
      <c r="G60" s="20"/>
      <c r="H60" s="35">
        <v>170168754</v>
      </c>
      <c r="I60" s="3" t="s">
        <v>11</v>
      </c>
      <c r="J60" s="3" t="s">
        <v>60</v>
      </c>
      <c r="K60" s="20" t="s">
        <v>422</v>
      </c>
      <c r="L60" s="35"/>
      <c r="M60" s="20"/>
      <c r="N60" s="3" t="s">
        <v>102</v>
      </c>
      <c r="O60" s="3" t="s">
        <v>68</v>
      </c>
      <c r="P60" s="3"/>
      <c r="Q60" s="3" t="s">
        <v>21</v>
      </c>
      <c r="R60" s="3">
        <v>1</v>
      </c>
      <c r="S60" s="3" t="s">
        <v>15</v>
      </c>
      <c r="T60" s="3"/>
      <c r="U60" s="3" t="s">
        <v>568</v>
      </c>
      <c r="V60" s="3" t="s">
        <v>584</v>
      </c>
    </row>
    <row r="61" spans="2:22" s="2" customFormat="1" ht="18" hidden="1" customHeight="1" x14ac:dyDescent="0.2">
      <c r="B61" s="12">
        <f t="shared" si="3"/>
        <v>55</v>
      </c>
      <c r="C61" s="3" t="s">
        <v>22</v>
      </c>
      <c r="D61" s="3">
        <v>320000363</v>
      </c>
      <c r="E61" s="20" t="str">
        <f t="shared" si="0"/>
        <v>320000363</v>
      </c>
      <c r="F61" s="20"/>
      <c r="G61" s="20"/>
      <c r="H61" s="35">
        <v>320000363</v>
      </c>
      <c r="I61" s="3" t="s">
        <v>11</v>
      </c>
      <c r="J61" s="3" t="s">
        <v>29</v>
      </c>
      <c r="K61" s="20" t="s">
        <v>412</v>
      </c>
      <c r="L61" s="35"/>
      <c r="M61" s="20"/>
      <c r="N61" s="3" t="s">
        <v>103</v>
      </c>
      <c r="O61" s="3" t="s">
        <v>70</v>
      </c>
      <c r="P61" s="3"/>
      <c r="Q61" s="3" t="s">
        <v>21</v>
      </c>
      <c r="R61" s="3">
        <v>1</v>
      </c>
      <c r="S61" s="3" t="s">
        <v>15</v>
      </c>
      <c r="T61" s="3"/>
      <c r="U61" s="3" t="s">
        <v>551</v>
      </c>
      <c r="V61" s="3" t="s">
        <v>552</v>
      </c>
    </row>
    <row r="62" spans="2:22" s="2" customFormat="1" ht="18" hidden="1" customHeight="1" x14ac:dyDescent="0.2">
      <c r="B62" s="12">
        <f t="shared" si="3"/>
        <v>56</v>
      </c>
      <c r="C62" s="3" t="s">
        <v>22</v>
      </c>
      <c r="D62" s="3">
        <v>340002212</v>
      </c>
      <c r="E62" s="20" t="str">
        <f t="shared" si="0"/>
        <v>340002212</v>
      </c>
      <c r="F62" s="20"/>
      <c r="G62" s="20"/>
      <c r="H62" s="35">
        <v>340002212</v>
      </c>
      <c r="I62" s="3" t="s">
        <v>11</v>
      </c>
      <c r="J62" s="3" t="s">
        <v>23</v>
      </c>
      <c r="K62" s="20" t="s">
        <v>410</v>
      </c>
      <c r="L62" s="35"/>
      <c r="M62" s="20"/>
      <c r="N62" s="3" t="s">
        <v>104</v>
      </c>
      <c r="O62" s="3" t="s">
        <v>83</v>
      </c>
      <c r="P62" s="3"/>
      <c r="Q62" s="3" t="s">
        <v>18</v>
      </c>
      <c r="R62" s="3">
        <v>2</v>
      </c>
      <c r="S62" s="3" t="s">
        <v>15</v>
      </c>
      <c r="T62" s="3"/>
      <c r="U62" s="3" t="s">
        <v>568</v>
      </c>
      <c r="V62" s="3" t="s">
        <v>585</v>
      </c>
    </row>
    <row r="63" spans="2:22" s="2" customFormat="1" ht="18" hidden="1" customHeight="1" x14ac:dyDescent="0.2">
      <c r="B63" s="12">
        <f t="shared" si="3"/>
        <v>57</v>
      </c>
      <c r="C63" s="3" t="s">
        <v>22</v>
      </c>
      <c r="D63" s="3">
        <v>3402049</v>
      </c>
      <c r="E63" s="20" t="str">
        <f t="shared" si="0"/>
        <v>3402049</v>
      </c>
      <c r="F63" s="20"/>
      <c r="G63" s="20"/>
      <c r="H63" s="35">
        <v>3402049</v>
      </c>
      <c r="I63" s="3" t="s">
        <v>11</v>
      </c>
      <c r="J63" s="3" t="s">
        <v>60</v>
      </c>
      <c r="K63" s="20" t="e">
        <v>#N/A</v>
      </c>
      <c r="L63" s="35"/>
      <c r="M63" s="20"/>
      <c r="N63" s="3" t="s">
        <v>105</v>
      </c>
      <c r="O63" s="3" t="s">
        <v>106</v>
      </c>
      <c r="P63" s="3"/>
      <c r="Q63" s="3" t="s">
        <v>21</v>
      </c>
      <c r="R63" s="3">
        <v>1</v>
      </c>
      <c r="S63" s="3" t="s">
        <v>15</v>
      </c>
      <c r="T63" s="3"/>
      <c r="U63" s="3" t="s">
        <v>551</v>
      </c>
      <c r="V63" s="3" t="s">
        <v>568</v>
      </c>
    </row>
    <row r="64" spans="2:22" s="2" customFormat="1" ht="18" hidden="1" customHeight="1" x14ac:dyDescent="0.2">
      <c r="B64" s="12">
        <f t="shared" si="3"/>
        <v>58</v>
      </c>
      <c r="C64" s="3" t="s">
        <v>22</v>
      </c>
      <c r="D64" s="3">
        <v>3402684</v>
      </c>
      <c r="E64" s="20" t="str">
        <f t="shared" si="0"/>
        <v>3402684</v>
      </c>
      <c r="F64" s="20"/>
      <c r="G64" s="20"/>
      <c r="H64" s="35">
        <v>3402684</v>
      </c>
      <c r="I64" s="3" t="s">
        <v>11</v>
      </c>
      <c r="J64" s="3" t="s">
        <v>23</v>
      </c>
      <c r="K64" s="20" t="s">
        <v>410</v>
      </c>
      <c r="L64" s="35"/>
      <c r="M64" s="20"/>
      <c r="N64" s="3" t="s">
        <v>107</v>
      </c>
      <c r="O64" s="3" t="s">
        <v>76</v>
      </c>
      <c r="P64" s="3"/>
      <c r="Q64" s="3" t="s">
        <v>21</v>
      </c>
      <c r="R64" s="3">
        <v>1</v>
      </c>
      <c r="S64" s="3" t="s">
        <v>15</v>
      </c>
      <c r="T64" s="3"/>
      <c r="U64" s="3" t="s">
        <v>552</v>
      </c>
      <c r="V64" s="3" t="s">
        <v>552</v>
      </c>
    </row>
    <row r="65" spans="2:22" s="1" customFormat="1" ht="18" hidden="1" customHeight="1" x14ac:dyDescent="0.2">
      <c r="B65" s="12">
        <f t="shared" si="3"/>
        <v>59</v>
      </c>
      <c r="C65" s="3" t="s">
        <v>22</v>
      </c>
      <c r="D65" s="3">
        <v>350001184</v>
      </c>
      <c r="E65" s="20" t="str">
        <f t="shared" si="0"/>
        <v>350001184</v>
      </c>
      <c r="F65" s="20"/>
      <c r="G65" s="20"/>
      <c r="H65" s="35">
        <v>350001184</v>
      </c>
      <c r="I65" s="3" t="s">
        <v>11</v>
      </c>
      <c r="J65" s="3" t="s">
        <v>60</v>
      </c>
      <c r="K65" s="20" t="s">
        <v>422</v>
      </c>
      <c r="L65" s="35"/>
      <c r="M65" s="20"/>
      <c r="N65" s="3" t="s">
        <v>108</v>
      </c>
      <c r="O65" s="3" t="s">
        <v>77</v>
      </c>
      <c r="P65" s="3"/>
      <c r="Q65" s="3" t="s">
        <v>18</v>
      </c>
      <c r="R65" s="3">
        <v>2</v>
      </c>
      <c r="S65" s="3" t="s">
        <v>15</v>
      </c>
      <c r="T65" s="3"/>
      <c r="U65" s="3" t="s">
        <v>548</v>
      </c>
      <c r="V65" s="3" t="s">
        <v>547</v>
      </c>
    </row>
    <row r="66" spans="2:22" s="2" customFormat="1" ht="18" hidden="1" customHeight="1" x14ac:dyDescent="0.2">
      <c r="B66" s="12">
        <f t="shared" si="3"/>
        <v>60</v>
      </c>
      <c r="C66" s="3" t="s">
        <v>22</v>
      </c>
      <c r="D66" s="3">
        <v>430000724</v>
      </c>
      <c r="E66" s="20" t="str">
        <f t="shared" si="0"/>
        <v>430000724</v>
      </c>
      <c r="F66" s="20"/>
      <c r="G66" s="20"/>
      <c r="H66" s="35">
        <v>430000724</v>
      </c>
      <c r="I66" s="3" t="s">
        <v>11</v>
      </c>
      <c r="J66" s="3" t="s">
        <v>109</v>
      </c>
      <c r="K66" s="20" t="s">
        <v>432</v>
      </c>
      <c r="L66" s="35"/>
      <c r="M66" s="20"/>
      <c r="N66" s="3" t="s">
        <v>110</v>
      </c>
      <c r="O66" s="3" t="s">
        <v>14</v>
      </c>
      <c r="P66" s="3"/>
      <c r="Q66" s="3" t="s">
        <v>18</v>
      </c>
      <c r="R66" s="3">
        <v>2</v>
      </c>
      <c r="S66" s="3" t="s">
        <v>15</v>
      </c>
      <c r="T66" s="3"/>
      <c r="U66" s="3" t="s">
        <v>568</v>
      </c>
      <c r="V66" s="3" t="s">
        <v>552</v>
      </c>
    </row>
    <row r="67" spans="2:22" s="2" customFormat="1" ht="18" hidden="1" customHeight="1" x14ac:dyDescent="0.2">
      <c r="B67" s="12">
        <f t="shared" si="3"/>
        <v>61</v>
      </c>
      <c r="C67" s="3" t="s">
        <v>22</v>
      </c>
      <c r="D67" s="3" t="s">
        <v>586</v>
      </c>
      <c r="E67" s="20" t="str">
        <f t="shared" ref="E67:E122" si="4">TRIM(D67)</f>
        <v>44S0093</v>
      </c>
      <c r="F67" s="20"/>
      <c r="G67" s="20"/>
      <c r="H67" s="35" t="s">
        <v>587</v>
      </c>
      <c r="I67" s="3" t="s">
        <v>11</v>
      </c>
      <c r="J67" s="3" t="s">
        <v>111</v>
      </c>
      <c r="K67" s="20" t="s">
        <v>433</v>
      </c>
      <c r="L67" s="35"/>
      <c r="M67" s="20"/>
      <c r="N67" s="3" t="s">
        <v>588</v>
      </c>
      <c r="O67" s="3" t="s">
        <v>14</v>
      </c>
      <c r="P67" s="3"/>
      <c r="Q67" s="3" t="s">
        <v>55</v>
      </c>
      <c r="R67" s="3">
        <v>4</v>
      </c>
      <c r="S67" s="3" t="s">
        <v>15</v>
      </c>
      <c r="T67" s="3"/>
      <c r="U67" s="3" t="s">
        <v>568</v>
      </c>
      <c r="V67" s="3" t="s">
        <v>552</v>
      </c>
    </row>
    <row r="68" spans="2:22" s="2" customFormat="1" ht="18" hidden="1" customHeight="1" x14ac:dyDescent="0.2">
      <c r="B68" s="12">
        <f t="shared" si="3"/>
        <v>62</v>
      </c>
      <c r="C68" s="3" t="s">
        <v>22</v>
      </c>
      <c r="D68" s="3">
        <v>9200106</v>
      </c>
      <c r="E68" s="20" t="str">
        <f t="shared" si="4"/>
        <v>9200106</v>
      </c>
      <c r="F68" s="20"/>
      <c r="G68" s="20"/>
      <c r="H68" s="35">
        <v>9200106</v>
      </c>
      <c r="I68" s="3" t="s">
        <v>11</v>
      </c>
      <c r="J68" s="3" t="s">
        <v>113</v>
      </c>
      <c r="K68" s="20" t="s">
        <v>434</v>
      </c>
      <c r="L68" s="35"/>
      <c r="M68" s="20"/>
      <c r="N68" s="3" t="s">
        <v>589</v>
      </c>
      <c r="O68" s="3" t="s">
        <v>90</v>
      </c>
      <c r="P68" s="3"/>
      <c r="Q68" s="3" t="s">
        <v>25</v>
      </c>
      <c r="R68" s="3">
        <v>0</v>
      </c>
      <c r="S68" s="3" t="s">
        <v>15</v>
      </c>
      <c r="T68" s="3"/>
      <c r="U68" s="3" t="s">
        <v>568</v>
      </c>
      <c r="V68" s="3" t="s">
        <v>548</v>
      </c>
    </row>
    <row r="69" spans="2:22" s="2" customFormat="1" ht="18" hidden="1" customHeight="1" x14ac:dyDescent="0.2">
      <c r="B69" s="15">
        <f t="shared" si="3"/>
        <v>63</v>
      </c>
      <c r="C69" s="11" t="s">
        <v>16</v>
      </c>
      <c r="D69" s="11">
        <v>110144590</v>
      </c>
      <c r="E69" s="20" t="str">
        <f t="shared" si="4"/>
        <v>110144590</v>
      </c>
      <c r="F69" s="20"/>
      <c r="G69" s="20"/>
      <c r="H69" s="35">
        <v>110144590</v>
      </c>
      <c r="I69" s="11" t="s">
        <v>11</v>
      </c>
      <c r="J69" s="11" t="s">
        <v>115</v>
      </c>
      <c r="K69" s="11" t="s">
        <v>435</v>
      </c>
      <c r="L69" s="35"/>
      <c r="M69" s="11"/>
      <c r="N69" s="11" t="s">
        <v>116</v>
      </c>
      <c r="O69" s="11" t="s">
        <v>14</v>
      </c>
      <c r="P69" s="11"/>
      <c r="Q69" s="11" t="s">
        <v>21</v>
      </c>
      <c r="R69" s="11">
        <v>1</v>
      </c>
      <c r="S69" s="11" t="s">
        <v>38</v>
      </c>
      <c r="T69" s="11"/>
      <c r="U69" s="11" t="s">
        <v>582</v>
      </c>
      <c r="V69" s="11" t="s">
        <v>582</v>
      </c>
    </row>
    <row r="70" spans="2:22" s="2" customFormat="1" ht="18" customHeight="1" x14ac:dyDescent="0.2">
      <c r="B70" s="19">
        <f t="shared" si="3"/>
        <v>64</v>
      </c>
      <c r="C70" s="18" t="s">
        <v>22</v>
      </c>
      <c r="D70" s="18">
        <v>120213988</v>
      </c>
      <c r="E70" s="20" t="str">
        <f t="shared" si="4"/>
        <v>120213988</v>
      </c>
      <c r="F70" s="20"/>
      <c r="G70" s="20"/>
      <c r="H70" s="35">
        <v>120213988</v>
      </c>
      <c r="I70" s="18" t="s">
        <v>11</v>
      </c>
      <c r="J70" s="27" t="s">
        <v>117</v>
      </c>
      <c r="K70" s="27" t="s">
        <v>436</v>
      </c>
      <c r="L70" s="34" t="s">
        <v>590</v>
      </c>
      <c r="M70" s="18" t="s">
        <v>591</v>
      </c>
      <c r="N70" s="18" t="s">
        <v>118</v>
      </c>
      <c r="O70" s="18" t="s">
        <v>14</v>
      </c>
      <c r="P70" s="18"/>
      <c r="Q70" s="18" t="s">
        <v>21</v>
      </c>
      <c r="R70" s="18">
        <v>1</v>
      </c>
      <c r="S70" s="18" t="s">
        <v>38</v>
      </c>
      <c r="T70" s="18"/>
      <c r="U70" s="18" t="s">
        <v>549</v>
      </c>
      <c r="V70" s="18" t="s">
        <v>592</v>
      </c>
    </row>
    <row r="71" spans="2:22" s="2" customFormat="1" ht="18" hidden="1" customHeight="1" x14ac:dyDescent="0.2">
      <c r="B71" s="8">
        <f t="shared" si="3"/>
        <v>65</v>
      </c>
      <c r="C71" s="4" t="s">
        <v>36</v>
      </c>
      <c r="D71" s="4">
        <v>330000145</v>
      </c>
      <c r="E71" s="20" t="str">
        <f t="shared" si="4"/>
        <v>330000145</v>
      </c>
      <c r="F71" s="20"/>
      <c r="G71" s="20"/>
      <c r="H71" s="35">
        <v>330000145</v>
      </c>
      <c r="I71" s="4" t="s">
        <v>11</v>
      </c>
      <c r="J71" s="4" t="s">
        <v>23</v>
      </c>
      <c r="K71" s="4" t="s">
        <v>410</v>
      </c>
      <c r="L71" s="35"/>
      <c r="M71" s="4"/>
      <c r="N71" s="4" t="s">
        <v>119</v>
      </c>
      <c r="O71" s="4" t="s">
        <v>14</v>
      </c>
      <c r="P71" s="4"/>
      <c r="Q71" s="4" t="s">
        <v>21</v>
      </c>
      <c r="R71" s="4">
        <v>1</v>
      </c>
      <c r="S71" s="4" t="s">
        <v>15</v>
      </c>
      <c r="T71" s="4"/>
      <c r="U71" s="4" t="s">
        <v>593</v>
      </c>
      <c r="V71" s="4" t="s">
        <v>594</v>
      </c>
    </row>
    <row r="72" spans="2:22" s="2" customFormat="1" ht="18" hidden="1" customHeight="1" x14ac:dyDescent="0.2">
      <c r="B72" s="8">
        <f t="shared" si="3"/>
        <v>66</v>
      </c>
      <c r="C72" s="4" t="s">
        <v>36</v>
      </c>
      <c r="D72" s="24">
        <v>5102969</v>
      </c>
      <c r="E72" s="20" t="str">
        <f t="shared" si="4"/>
        <v>5102969</v>
      </c>
      <c r="F72" s="20"/>
      <c r="G72" s="20"/>
      <c r="H72" s="35">
        <v>5102969</v>
      </c>
      <c r="I72" s="4" t="s">
        <v>11</v>
      </c>
      <c r="J72" s="4" t="s">
        <v>120</v>
      </c>
      <c r="K72" s="4" t="s">
        <v>437</v>
      </c>
      <c r="L72" s="35"/>
      <c r="M72" s="4" t="s">
        <v>595</v>
      </c>
      <c r="N72" s="4" t="s">
        <v>121</v>
      </c>
      <c r="O72" s="4" t="s">
        <v>14</v>
      </c>
      <c r="P72" s="4"/>
      <c r="Q72" s="4" t="s">
        <v>18</v>
      </c>
      <c r="R72" s="4">
        <v>2</v>
      </c>
      <c r="S72" s="4" t="s">
        <v>15</v>
      </c>
      <c r="T72" s="4"/>
      <c r="U72" s="4" t="s">
        <v>596</v>
      </c>
      <c r="V72" s="4" t="s">
        <v>597</v>
      </c>
    </row>
    <row r="73" spans="2:22" s="2" customFormat="1" ht="24.75" customHeight="1" x14ac:dyDescent="0.2">
      <c r="B73" s="19" t="str">
        <f>"66-1"</f>
        <v>66-1</v>
      </c>
      <c r="C73" s="18">
        <v>3</v>
      </c>
      <c r="D73" s="18">
        <v>500000396</v>
      </c>
      <c r="E73" s="20" t="str">
        <f t="shared" si="4"/>
        <v>500000396</v>
      </c>
      <c r="F73" s="20"/>
      <c r="G73" s="20"/>
      <c r="H73" s="35" t="e">
        <v>#N/A</v>
      </c>
      <c r="I73" s="18" t="s">
        <v>11</v>
      </c>
      <c r="J73" s="18"/>
      <c r="K73" s="18" t="s">
        <v>598</v>
      </c>
      <c r="L73" s="35" t="s">
        <v>557</v>
      </c>
      <c r="M73" s="18" t="s">
        <v>1052</v>
      </c>
      <c r="N73" s="25" t="s">
        <v>694</v>
      </c>
      <c r="O73" s="18"/>
      <c r="P73" s="18"/>
      <c r="Q73" s="18" t="s">
        <v>18</v>
      </c>
      <c r="R73" s="18">
        <v>2</v>
      </c>
      <c r="S73" s="18" t="s">
        <v>15</v>
      </c>
      <c r="T73" s="18"/>
      <c r="U73" s="18"/>
      <c r="V73" s="18" t="s">
        <v>695</v>
      </c>
    </row>
    <row r="74" spans="2:22" s="1" customFormat="1" ht="18" hidden="1" customHeight="1" x14ac:dyDescent="0.2">
      <c r="B74" s="12">
        <f>B72+1</f>
        <v>67</v>
      </c>
      <c r="C74" s="3" t="s">
        <v>22</v>
      </c>
      <c r="D74" s="3">
        <v>170168743</v>
      </c>
      <c r="E74" s="20" t="str">
        <f t="shared" si="4"/>
        <v>170168743</v>
      </c>
      <c r="F74" s="20"/>
      <c r="G74" s="20"/>
      <c r="H74" s="35">
        <v>170168743</v>
      </c>
      <c r="I74" s="3" t="s">
        <v>11</v>
      </c>
      <c r="J74" s="3" t="s">
        <v>26</v>
      </c>
      <c r="K74" s="20" t="s">
        <v>411</v>
      </c>
      <c r="L74" s="35"/>
      <c r="M74" s="20"/>
      <c r="N74" s="3" t="s">
        <v>122</v>
      </c>
      <c r="O74" s="3" t="s">
        <v>14</v>
      </c>
      <c r="P74" s="3"/>
      <c r="Q74" s="3" t="s">
        <v>21</v>
      </c>
      <c r="R74" s="3">
        <v>1</v>
      </c>
      <c r="S74" s="3" t="s">
        <v>15</v>
      </c>
      <c r="T74" s="3"/>
      <c r="U74" s="3" t="s">
        <v>552</v>
      </c>
      <c r="V74" s="3" t="s">
        <v>599</v>
      </c>
    </row>
    <row r="75" spans="2:22" s="1" customFormat="1" ht="18" hidden="1" customHeight="1" x14ac:dyDescent="0.2">
      <c r="B75" s="12">
        <f t="shared" ref="B75:B87" si="5">B74+1</f>
        <v>68</v>
      </c>
      <c r="C75" s="3" t="s">
        <v>22</v>
      </c>
      <c r="D75" s="3">
        <v>170168751</v>
      </c>
      <c r="E75" s="20" t="str">
        <f t="shared" si="4"/>
        <v>170168751</v>
      </c>
      <c r="F75" s="20"/>
      <c r="G75" s="20"/>
      <c r="H75" s="35">
        <v>170168751</v>
      </c>
      <c r="I75" s="3" t="s">
        <v>11</v>
      </c>
      <c r="J75" s="3" t="s">
        <v>23</v>
      </c>
      <c r="K75" s="20" t="s">
        <v>410</v>
      </c>
      <c r="L75" s="35"/>
      <c r="M75" s="20"/>
      <c r="N75" s="3" t="s">
        <v>123</v>
      </c>
      <c r="O75" s="3" t="s">
        <v>14</v>
      </c>
      <c r="P75" s="3"/>
      <c r="Q75" s="3" t="s">
        <v>21</v>
      </c>
      <c r="R75" s="3">
        <v>1</v>
      </c>
      <c r="S75" s="3" t="s">
        <v>15</v>
      </c>
      <c r="T75" s="3"/>
      <c r="U75" s="3" t="s">
        <v>568</v>
      </c>
      <c r="V75" s="3" t="s">
        <v>583</v>
      </c>
    </row>
    <row r="76" spans="2:22" s="2" customFormat="1" ht="18" hidden="1" customHeight="1" x14ac:dyDescent="0.2">
      <c r="B76" s="12">
        <f t="shared" si="5"/>
        <v>69</v>
      </c>
      <c r="C76" s="3" t="s">
        <v>22</v>
      </c>
      <c r="D76" s="3">
        <v>320000363</v>
      </c>
      <c r="E76" s="20" t="str">
        <f t="shared" si="4"/>
        <v>320000363</v>
      </c>
      <c r="F76" s="20"/>
      <c r="G76" s="20"/>
      <c r="H76" s="35">
        <v>320000363</v>
      </c>
      <c r="I76" s="3" t="s">
        <v>11</v>
      </c>
      <c r="J76" s="3" t="s">
        <v>29</v>
      </c>
      <c r="K76" s="20" t="s">
        <v>412</v>
      </c>
      <c r="L76" s="35"/>
      <c r="M76" s="20"/>
      <c r="N76" s="3" t="s">
        <v>103</v>
      </c>
      <c r="O76" s="3" t="s">
        <v>14</v>
      </c>
      <c r="P76" s="3"/>
      <c r="Q76" s="3" t="s">
        <v>21</v>
      </c>
      <c r="R76" s="3">
        <v>1</v>
      </c>
      <c r="S76" s="3" t="s">
        <v>15</v>
      </c>
      <c r="T76" s="3"/>
      <c r="U76" s="3" t="s">
        <v>581</v>
      </c>
      <c r="V76" s="3" t="s">
        <v>568</v>
      </c>
    </row>
    <row r="77" spans="2:22" s="2" customFormat="1" ht="18" hidden="1" customHeight="1" x14ac:dyDescent="0.2">
      <c r="B77" s="12">
        <f t="shared" si="5"/>
        <v>70</v>
      </c>
      <c r="C77" s="3" t="s">
        <v>22</v>
      </c>
      <c r="D77" s="3">
        <v>340002212</v>
      </c>
      <c r="E77" s="20" t="str">
        <f t="shared" si="4"/>
        <v>340002212</v>
      </c>
      <c r="F77" s="20"/>
      <c r="G77" s="20"/>
      <c r="H77" s="35">
        <v>340002212</v>
      </c>
      <c r="I77" s="3" t="s">
        <v>11</v>
      </c>
      <c r="J77" s="3" t="s">
        <v>23</v>
      </c>
      <c r="K77" s="20" t="s">
        <v>410</v>
      </c>
      <c r="L77" s="35"/>
      <c r="M77" s="20"/>
      <c r="N77" s="3" t="s">
        <v>104</v>
      </c>
      <c r="O77" s="3" t="s">
        <v>14</v>
      </c>
      <c r="P77" s="3"/>
      <c r="Q77" s="3" t="s">
        <v>18</v>
      </c>
      <c r="R77" s="3">
        <v>2</v>
      </c>
      <c r="S77" s="3" t="s">
        <v>15</v>
      </c>
      <c r="T77" s="3"/>
      <c r="U77" s="3" t="s">
        <v>568</v>
      </c>
      <c r="V77" s="3" t="s">
        <v>552</v>
      </c>
    </row>
    <row r="78" spans="2:22" s="2" customFormat="1" ht="18" hidden="1" customHeight="1" x14ac:dyDescent="0.2">
      <c r="B78" s="12">
        <f t="shared" si="5"/>
        <v>71</v>
      </c>
      <c r="C78" s="3" t="s">
        <v>22</v>
      </c>
      <c r="D78" s="3">
        <v>3402049</v>
      </c>
      <c r="E78" s="20" t="str">
        <f t="shared" si="4"/>
        <v>3402049</v>
      </c>
      <c r="F78" s="20"/>
      <c r="G78" s="20"/>
      <c r="H78" s="35">
        <v>3402049</v>
      </c>
      <c r="I78" s="3" t="s">
        <v>11</v>
      </c>
      <c r="J78" s="3" t="s">
        <v>60</v>
      </c>
      <c r="K78" s="20" t="e">
        <v>#N/A</v>
      </c>
      <c r="L78" s="35"/>
      <c r="M78" s="20"/>
      <c r="N78" s="3" t="s">
        <v>600</v>
      </c>
      <c r="O78" s="3" t="s">
        <v>14</v>
      </c>
      <c r="P78" s="3"/>
      <c r="Q78" s="3" t="s">
        <v>21</v>
      </c>
      <c r="R78" s="3">
        <v>1</v>
      </c>
      <c r="S78" s="3" t="s">
        <v>15</v>
      </c>
      <c r="T78" s="3"/>
      <c r="U78" s="3" t="s">
        <v>551</v>
      </c>
      <c r="V78" s="3" t="s">
        <v>552</v>
      </c>
    </row>
    <row r="79" spans="2:22" s="2" customFormat="1" ht="18" hidden="1" customHeight="1" x14ac:dyDescent="0.2">
      <c r="B79" s="12">
        <f t="shared" si="5"/>
        <v>72</v>
      </c>
      <c r="C79" s="3" t="s">
        <v>22</v>
      </c>
      <c r="D79" s="3">
        <v>3402684</v>
      </c>
      <c r="E79" s="20" t="str">
        <f t="shared" si="4"/>
        <v>3402684</v>
      </c>
      <c r="F79" s="20"/>
      <c r="G79" s="20"/>
      <c r="H79" s="35">
        <v>3402684</v>
      </c>
      <c r="I79" s="3" t="s">
        <v>11</v>
      </c>
      <c r="J79" s="3" t="s">
        <v>23</v>
      </c>
      <c r="K79" s="20" t="s">
        <v>410</v>
      </c>
      <c r="L79" s="35"/>
      <c r="M79" s="20"/>
      <c r="N79" s="3" t="s">
        <v>107</v>
      </c>
      <c r="O79" s="3" t="s">
        <v>14</v>
      </c>
      <c r="P79" s="3"/>
      <c r="Q79" s="3" t="s">
        <v>21</v>
      </c>
      <c r="R79" s="3">
        <v>1</v>
      </c>
      <c r="S79" s="3" t="s">
        <v>15</v>
      </c>
      <c r="T79" s="3"/>
      <c r="U79" s="3" t="s">
        <v>552</v>
      </c>
      <c r="V79" s="3" t="s">
        <v>548</v>
      </c>
    </row>
    <row r="80" spans="2:22" s="2" customFormat="1" ht="18" hidden="1" customHeight="1" x14ac:dyDescent="0.2">
      <c r="B80" s="12">
        <f t="shared" si="5"/>
        <v>73</v>
      </c>
      <c r="C80" s="3" t="s">
        <v>22</v>
      </c>
      <c r="D80" s="3">
        <v>350001184</v>
      </c>
      <c r="E80" s="20" t="str">
        <f t="shared" si="4"/>
        <v>350001184</v>
      </c>
      <c r="F80" s="20"/>
      <c r="G80" s="20"/>
      <c r="H80" s="35">
        <v>350001184</v>
      </c>
      <c r="I80" s="3" t="s">
        <v>11</v>
      </c>
      <c r="J80" s="3" t="s">
        <v>60</v>
      </c>
      <c r="K80" s="20" t="s">
        <v>422</v>
      </c>
      <c r="L80" s="35"/>
      <c r="M80" s="20"/>
      <c r="N80" s="3" t="s">
        <v>108</v>
      </c>
      <c r="O80" s="3" t="s">
        <v>14</v>
      </c>
      <c r="P80" s="3"/>
      <c r="Q80" s="3" t="s">
        <v>18</v>
      </c>
      <c r="R80" s="3">
        <v>2</v>
      </c>
      <c r="S80" s="3" t="s">
        <v>15</v>
      </c>
      <c r="T80" s="3"/>
      <c r="U80" s="3" t="s">
        <v>585</v>
      </c>
      <c r="V80" s="3" t="s">
        <v>568</v>
      </c>
    </row>
    <row r="81" spans="2:22" s="2" customFormat="1" ht="18" hidden="1" customHeight="1" x14ac:dyDescent="0.2">
      <c r="B81" s="12">
        <f t="shared" si="5"/>
        <v>74</v>
      </c>
      <c r="C81" s="3" t="s">
        <v>22</v>
      </c>
      <c r="D81" s="3">
        <v>430000724</v>
      </c>
      <c r="E81" s="20" t="str">
        <f t="shared" si="4"/>
        <v>430000724</v>
      </c>
      <c r="F81" s="20"/>
      <c r="G81" s="20"/>
      <c r="H81" s="35">
        <v>430000724</v>
      </c>
      <c r="I81" s="3" t="s">
        <v>11</v>
      </c>
      <c r="J81" s="3" t="s">
        <v>109</v>
      </c>
      <c r="K81" s="20" t="s">
        <v>432</v>
      </c>
      <c r="L81" s="35"/>
      <c r="M81" s="20"/>
      <c r="N81" s="3" t="s">
        <v>110</v>
      </c>
      <c r="O81" s="3" t="s">
        <v>14</v>
      </c>
      <c r="P81" s="3"/>
      <c r="Q81" s="3" t="s">
        <v>18</v>
      </c>
      <c r="R81" s="3">
        <v>2</v>
      </c>
      <c r="S81" s="3" t="s">
        <v>15</v>
      </c>
      <c r="T81" s="3"/>
      <c r="U81" s="3" t="s">
        <v>568</v>
      </c>
      <c r="V81" s="3" t="s">
        <v>568</v>
      </c>
    </row>
    <row r="82" spans="2:22" s="2" customFormat="1" ht="18" hidden="1" customHeight="1" x14ac:dyDescent="0.2">
      <c r="B82" s="12">
        <f t="shared" si="5"/>
        <v>75</v>
      </c>
      <c r="C82" s="3" t="s">
        <v>22</v>
      </c>
      <c r="D82" s="3" t="s">
        <v>586</v>
      </c>
      <c r="E82" s="20" t="str">
        <f t="shared" si="4"/>
        <v>44S0093</v>
      </c>
      <c r="F82" s="20"/>
      <c r="G82" s="20"/>
      <c r="H82" s="35" t="s">
        <v>587</v>
      </c>
      <c r="I82" s="3" t="s">
        <v>11</v>
      </c>
      <c r="J82" s="3" t="s">
        <v>111</v>
      </c>
      <c r="K82" s="20" t="s">
        <v>433</v>
      </c>
      <c r="L82" s="35"/>
      <c r="M82" s="20"/>
      <c r="N82" s="3" t="s">
        <v>112</v>
      </c>
      <c r="O82" s="3" t="s">
        <v>14</v>
      </c>
      <c r="P82" s="3"/>
      <c r="Q82" s="3" t="s">
        <v>55</v>
      </c>
      <c r="R82" s="3">
        <v>4</v>
      </c>
      <c r="S82" s="3" t="s">
        <v>15</v>
      </c>
      <c r="T82" s="3"/>
      <c r="U82" s="3" t="s">
        <v>346</v>
      </c>
      <c r="V82" s="3" t="s">
        <v>548</v>
      </c>
    </row>
    <row r="83" spans="2:22" s="2" customFormat="1" ht="18" hidden="1" customHeight="1" x14ac:dyDescent="0.2">
      <c r="B83" s="12">
        <f t="shared" si="5"/>
        <v>76</v>
      </c>
      <c r="C83" s="3" t="s">
        <v>22</v>
      </c>
      <c r="D83" s="3">
        <v>9200106</v>
      </c>
      <c r="E83" s="20" t="str">
        <f t="shared" si="4"/>
        <v>9200106</v>
      </c>
      <c r="F83" s="20"/>
      <c r="G83" s="20"/>
      <c r="H83" s="35">
        <v>9200106</v>
      </c>
      <c r="I83" s="3" t="s">
        <v>11</v>
      </c>
      <c r="J83" s="3" t="s">
        <v>113</v>
      </c>
      <c r="K83" s="20" t="s">
        <v>434</v>
      </c>
      <c r="L83" s="35"/>
      <c r="M83" s="20"/>
      <c r="N83" s="3" t="s">
        <v>114</v>
      </c>
      <c r="O83" s="3" t="s">
        <v>14</v>
      </c>
      <c r="P83" s="3"/>
      <c r="Q83" s="3" t="s">
        <v>25</v>
      </c>
      <c r="R83" s="3">
        <v>0</v>
      </c>
      <c r="S83" s="3" t="s">
        <v>15</v>
      </c>
      <c r="T83" s="3"/>
      <c r="U83" s="3" t="s">
        <v>581</v>
      </c>
      <c r="V83" s="3" t="s">
        <v>568</v>
      </c>
    </row>
    <row r="84" spans="2:22" s="2" customFormat="1" ht="18" customHeight="1" x14ac:dyDescent="0.2">
      <c r="B84" s="19">
        <f t="shared" si="5"/>
        <v>77</v>
      </c>
      <c r="C84" s="18" t="s">
        <v>16</v>
      </c>
      <c r="D84" s="18">
        <v>110144600</v>
      </c>
      <c r="E84" s="20" t="str">
        <f t="shared" si="4"/>
        <v>110144600</v>
      </c>
      <c r="F84" s="20"/>
      <c r="G84" s="20"/>
      <c r="H84" s="35">
        <v>110144600</v>
      </c>
      <c r="I84" s="18" t="s">
        <v>11</v>
      </c>
      <c r="J84" s="27" t="s">
        <v>124</v>
      </c>
      <c r="K84" s="27" t="s">
        <v>438</v>
      </c>
      <c r="L84" s="34" t="s">
        <v>590</v>
      </c>
      <c r="M84" s="27" t="s">
        <v>601</v>
      </c>
      <c r="N84" s="18" t="s">
        <v>125</v>
      </c>
      <c r="O84" s="18" t="s">
        <v>14</v>
      </c>
      <c r="P84" s="18"/>
      <c r="Q84" s="18" t="s">
        <v>21</v>
      </c>
      <c r="R84" s="18">
        <v>1</v>
      </c>
      <c r="S84" s="18" t="s">
        <v>38</v>
      </c>
      <c r="T84" s="18"/>
      <c r="U84" s="18" t="s">
        <v>602</v>
      </c>
      <c r="V84" s="18" t="s">
        <v>543</v>
      </c>
    </row>
    <row r="85" spans="2:22" s="2" customFormat="1" ht="18" hidden="1" customHeight="1" x14ac:dyDescent="0.2">
      <c r="B85" s="13">
        <f t="shared" si="5"/>
        <v>78</v>
      </c>
      <c r="C85" s="3" t="s">
        <v>22</v>
      </c>
      <c r="D85" s="3">
        <v>120213988</v>
      </c>
      <c r="E85" s="20" t="str">
        <f t="shared" si="4"/>
        <v>120213988</v>
      </c>
      <c r="F85" s="20"/>
      <c r="G85" s="20"/>
      <c r="H85" s="35">
        <v>120213988</v>
      </c>
      <c r="I85" s="3" t="s">
        <v>11</v>
      </c>
      <c r="J85" s="3" t="s">
        <v>117</v>
      </c>
      <c r="K85" s="20" t="s">
        <v>436</v>
      </c>
      <c r="L85" s="35"/>
      <c r="M85" s="20"/>
      <c r="N85" s="3" t="s">
        <v>118</v>
      </c>
      <c r="O85" s="3" t="s">
        <v>14</v>
      </c>
      <c r="P85" s="3"/>
      <c r="Q85" s="3" t="s">
        <v>21</v>
      </c>
      <c r="R85" s="3">
        <v>1</v>
      </c>
      <c r="S85" s="3" t="s">
        <v>38</v>
      </c>
      <c r="T85" s="3"/>
      <c r="U85" s="3" t="s">
        <v>603</v>
      </c>
      <c r="V85" s="3" t="s">
        <v>604</v>
      </c>
    </row>
    <row r="86" spans="2:22" s="2" customFormat="1" ht="18" hidden="1" customHeight="1" x14ac:dyDescent="0.2">
      <c r="B86" s="8">
        <f t="shared" si="5"/>
        <v>79</v>
      </c>
      <c r="C86" s="4" t="s">
        <v>36</v>
      </c>
      <c r="D86" s="4">
        <v>330000145</v>
      </c>
      <c r="E86" s="20" t="str">
        <f t="shared" si="4"/>
        <v>330000145</v>
      </c>
      <c r="F86" s="20"/>
      <c r="G86" s="20"/>
      <c r="H86" s="35">
        <v>330000145</v>
      </c>
      <c r="I86" s="4" t="s">
        <v>11</v>
      </c>
      <c r="J86" s="4" t="s">
        <v>23</v>
      </c>
      <c r="K86" s="4" t="s">
        <v>410</v>
      </c>
      <c r="L86" s="35"/>
      <c r="M86" s="4"/>
      <c r="N86" s="4" t="s">
        <v>119</v>
      </c>
      <c r="O86" s="4" t="s">
        <v>14</v>
      </c>
      <c r="P86" s="4"/>
      <c r="Q86" s="4" t="s">
        <v>21</v>
      </c>
      <c r="R86" s="4">
        <v>1</v>
      </c>
      <c r="S86" s="4" t="s">
        <v>15</v>
      </c>
      <c r="T86" s="4"/>
      <c r="U86" s="4" t="s">
        <v>605</v>
      </c>
      <c r="V86" s="4" t="s">
        <v>606</v>
      </c>
    </row>
    <row r="87" spans="2:22" s="2" customFormat="1" ht="18" hidden="1" customHeight="1" x14ac:dyDescent="0.2">
      <c r="B87" s="28">
        <f t="shared" si="5"/>
        <v>80</v>
      </c>
      <c r="C87" s="24" t="s">
        <v>36</v>
      </c>
      <c r="D87" s="24">
        <v>5102969</v>
      </c>
      <c r="E87" s="29" t="str">
        <f t="shared" si="4"/>
        <v>5102969</v>
      </c>
      <c r="F87" s="29"/>
      <c r="G87" s="29"/>
      <c r="H87" s="35">
        <v>5102969</v>
      </c>
      <c r="I87" s="24" t="s">
        <v>11</v>
      </c>
      <c r="J87" s="24" t="s">
        <v>120</v>
      </c>
      <c r="K87" s="24" t="s">
        <v>437</v>
      </c>
      <c r="L87" s="37"/>
      <c r="M87" s="24"/>
      <c r="N87" s="24" t="s">
        <v>121</v>
      </c>
      <c r="O87" s="4" t="s">
        <v>14</v>
      </c>
      <c r="P87" s="4"/>
      <c r="Q87" s="4" t="s">
        <v>18</v>
      </c>
      <c r="R87" s="4">
        <v>2</v>
      </c>
      <c r="S87" s="4" t="s">
        <v>15</v>
      </c>
      <c r="T87" s="4"/>
      <c r="U87" s="4" t="s">
        <v>593</v>
      </c>
      <c r="V87" s="4" t="s">
        <v>597</v>
      </c>
    </row>
    <row r="88" spans="2:22" s="2" customFormat="1" ht="18" customHeight="1" x14ac:dyDescent="0.2">
      <c r="B88" s="19" t="str">
        <f>"80-1"</f>
        <v>80-1</v>
      </c>
      <c r="C88" s="18">
        <v>3</v>
      </c>
      <c r="D88" s="18">
        <v>500000396</v>
      </c>
      <c r="E88" s="20" t="str">
        <f t="shared" si="4"/>
        <v>500000396</v>
      </c>
      <c r="F88" s="20"/>
      <c r="G88" s="20"/>
      <c r="H88" s="35" t="e">
        <v>#N/A</v>
      </c>
      <c r="I88" s="18" t="s">
        <v>11</v>
      </c>
      <c r="J88" s="18"/>
      <c r="K88" s="18" t="s">
        <v>607</v>
      </c>
      <c r="L88" s="35" t="s">
        <v>557</v>
      </c>
      <c r="M88" s="18" t="s">
        <v>1034</v>
      </c>
      <c r="N88" s="25" t="s">
        <v>1035</v>
      </c>
      <c r="O88" s="18"/>
      <c r="P88" s="18"/>
      <c r="Q88" s="18" t="s">
        <v>18</v>
      </c>
      <c r="R88" s="18">
        <v>2</v>
      </c>
      <c r="S88" s="18" t="s">
        <v>15</v>
      </c>
      <c r="T88" s="18"/>
      <c r="U88" s="18"/>
      <c r="V88" s="18" t="s">
        <v>695</v>
      </c>
    </row>
    <row r="89" spans="2:22" s="2" customFormat="1" ht="18" hidden="1" customHeight="1" x14ac:dyDescent="0.2">
      <c r="B89" s="13">
        <f>B87+1</f>
        <v>81</v>
      </c>
      <c r="C89" s="3" t="s">
        <v>22</v>
      </c>
      <c r="D89" s="3">
        <v>170168748</v>
      </c>
      <c r="E89" s="20" t="str">
        <f t="shared" si="4"/>
        <v>170168748</v>
      </c>
      <c r="F89" s="20"/>
      <c r="G89" s="20"/>
      <c r="H89" s="35">
        <v>170168748</v>
      </c>
      <c r="I89" s="3" t="s">
        <v>11</v>
      </c>
      <c r="J89" s="3" t="s">
        <v>29</v>
      </c>
      <c r="K89" s="20" t="s">
        <v>439</v>
      </c>
      <c r="L89" s="35"/>
      <c r="M89" s="20"/>
      <c r="N89" s="3" t="s">
        <v>126</v>
      </c>
      <c r="O89" s="3" t="s">
        <v>127</v>
      </c>
      <c r="P89" s="3"/>
      <c r="Q89" s="3" t="s">
        <v>21</v>
      </c>
      <c r="R89" s="3">
        <v>1</v>
      </c>
      <c r="S89" s="3" t="s">
        <v>38</v>
      </c>
      <c r="T89" s="3"/>
      <c r="U89" s="3" t="s">
        <v>548</v>
      </c>
      <c r="V89" s="3" t="s">
        <v>608</v>
      </c>
    </row>
    <row r="90" spans="2:22" s="2" customFormat="1" ht="18" hidden="1" customHeight="1" x14ac:dyDescent="0.2">
      <c r="B90" s="13">
        <f>B89+1</f>
        <v>82</v>
      </c>
      <c r="C90" s="3" t="s">
        <v>22</v>
      </c>
      <c r="D90" s="3">
        <v>170168749</v>
      </c>
      <c r="E90" s="20" t="str">
        <f t="shared" si="4"/>
        <v>170168749</v>
      </c>
      <c r="F90" s="20"/>
      <c r="G90" s="20"/>
      <c r="H90" s="35">
        <v>170168749</v>
      </c>
      <c r="I90" s="3" t="s">
        <v>11</v>
      </c>
      <c r="J90" s="3" t="s">
        <v>100</v>
      </c>
      <c r="K90" s="20" t="s">
        <v>431</v>
      </c>
      <c r="L90" s="35"/>
      <c r="M90" s="20"/>
      <c r="N90" s="3" t="s">
        <v>128</v>
      </c>
      <c r="O90" s="3" t="s">
        <v>68</v>
      </c>
      <c r="P90" s="3"/>
      <c r="Q90" s="3" t="s">
        <v>21</v>
      </c>
      <c r="R90" s="3">
        <v>1</v>
      </c>
      <c r="S90" s="3" t="s">
        <v>15</v>
      </c>
      <c r="T90" s="3"/>
      <c r="U90" s="3" t="s">
        <v>346</v>
      </c>
      <c r="V90" s="3" t="s">
        <v>608</v>
      </c>
    </row>
    <row r="91" spans="2:22" s="2" customFormat="1" ht="18" customHeight="1" x14ac:dyDescent="0.2">
      <c r="B91" s="19">
        <f>B90+1</f>
        <v>83</v>
      </c>
      <c r="C91" s="18" t="s">
        <v>22</v>
      </c>
      <c r="D91" s="18">
        <v>300000852</v>
      </c>
      <c r="E91" s="20" t="str">
        <f t="shared" si="4"/>
        <v>300000852</v>
      </c>
      <c r="F91" s="20"/>
      <c r="G91" s="20"/>
      <c r="H91" s="35">
        <v>300000852</v>
      </c>
      <c r="I91" s="18" t="s">
        <v>11</v>
      </c>
      <c r="J91" s="18" t="s">
        <v>23</v>
      </c>
      <c r="K91" s="18" t="s">
        <v>440</v>
      </c>
      <c r="L91" s="35" t="s">
        <v>610</v>
      </c>
      <c r="M91" s="18" t="s">
        <v>512</v>
      </c>
      <c r="N91" s="18" t="s">
        <v>129</v>
      </c>
      <c r="O91" s="18" t="s">
        <v>70</v>
      </c>
      <c r="P91" s="18"/>
      <c r="Q91" s="18" t="s">
        <v>21</v>
      </c>
      <c r="R91" s="18">
        <v>1</v>
      </c>
      <c r="S91" s="18" t="s">
        <v>38</v>
      </c>
      <c r="T91" s="18"/>
      <c r="U91" s="18" t="s">
        <v>548</v>
      </c>
      <c r="V91" s="18" t="s">
        <v>346</v>
      </c>
    </row>
    <row r="92" spans="2:22" s="2" customFormat="1" ht="18" hidden="1" customHeight="1" x14ac:dyDescent="0.2">
      <c r="B92" s="13">
        <f>B91+1</f>
        <v>84</v>
      </c>
      <c r="C92" s="3" t="s">
        <v>22</v>
      </c>
      <c r="D92" s="3">
        <v>320000377</v>
      </c>
      <c r="E92" s="20" t="str">
        <f t="shared" si="4"/>
        <v>320000377</v>
      </c>
      <c r="F92" s="20"/>
      <c r="G92" s="20"/>
      <c r="H92" s="35">
        <v>320000377</v>
      </c>
      <c r="I92" s="3" t="s">
        <v>11</v>
      </c>
      <c r="J92" s="3" t="s">
        <v>130</v>
      </c>
      <c r="K92" s="20" t="s">
        <v>441</v>
      </c>
      <c r="L92" s="35"/>
      <c r="M92" s="20"/>
      <c r="N92" s="3" t="s">
        <v>131</v>
      </c>
      <c r="O92" s="3" t="s">
        <v>83</v>
      </c>
      <c r="P92" s="3"/>
      <c r="Q92" s="3" t="s">
        <v>21</v>
      </c>
      <c r="R92" s="3">
        <v>1</v>
      </c>
      <c r="S92" s="3" t="s">
        <v>15</v>
      </c>
      <c r="T92" s="3"/>
      <c r="U92" s="3" t="s">
        <v>552</v>
      </c>
      <c r="V92" s="3" t="s">
        <v>346</v>
      </c>
    </row>
    <row r="93" spans="2:22" s="2" customFormat="1" ht="18" customHeight="1" x14ac:dyDescent="0.2">
      <c r="B93" s="19">
        <f>B92+1</f>
        <v>85</v>
      </c>
      <c r="C93" s="18" t="s">
        <v>22</v>
      </c>
      <c r="D93" s="18">
        <v>340001871</v>
      </c>
      <c r="E93" s="20" t="str">
        <f t="shared" si="4"/>
        <v>340001871</v>
      </c>
      <c r="F93" s="20"/>
      <c r="G93" s="20"/>
      <c r="H93" s="35">
        <v>340001871</v>
      </c>
      <c r="I93" s="18" t="s">
        <v>11</v>
      </c>
      <c r="J93" s="18" t="s">
        <v>611</v>
      </c>
      <c r="K93" s="18" t="s">
        <v>442</v>
      </c>
      <c r="L93" s="35" t="s">
        <v>609</v>
      </c>
      <c r="M93" s="18" t="s">
        <v>612</v>
      </c>
      <c r="N93" s="18" t="s">
        <v>613</v>
      </c>
      <c r="O93" s="18" t="s">
        <v>76</v>
      </c>
      <c r="P93" s="18"/>
      <c r="Q93" s="18" t="s">
        <v>18</v>
      </c>
      <c r="R93" s="18">
        <v>2</v>
      </c>
      <c r="S93" s="18" t="s">
        <v>38</v>
      </c>
      <c r="T93" s="18"/>
      <c r="U93" s="18" t="s">
        <v>346</v>
      </c>
      <c r="V93" s="18" t="s">
        <v>568</v>
      </c>
    </row>
    <row r="94" spans="2:22" s="2" customFormat="1" ht="18" hidden="1" customHeight="1" x14ac:dyDescent="0.2">
      <c r="B94" s="28">
        <f>B93+1</f>
        <v>86</v>
      </c>
      <c r="C94" s="24" t="s">
        <v>22</v>
      </c>
      <c r="D94" s="24">
        <v>3402049</v>
      </c>
      <c r="E94" s="29" t="str">
        <f t="shared" si="4"/>
        <v>3402049</v>
      </c>
      <c r="F94" s="29"/>
      <c r="G94" s="29"/>
      <c r="H94" s="35">
        <v>3402049</v>
      </c>
      <c r="I94" s="24" t="s">
        <v>11</v>
      </c>
      <c r="J94" s="24" t="s">
        <v>60</v>
      </c>
      <c r="K94" s="24" t="e">
        <v>#N/A</v>
      </c>
      <c r="L94" s="37"/>
      <c r="M94" s="4" t="s">
        <v>614</v>
      </c>
      <c r="N94" s="24" t="s">
        <v>105</v>
      </c>
      <c r="O94" s="24" t="s">
        <v>77</v>
      </c>
      <c r="P94" s="24"/>
      <c r="Q94" s="24" t="s">
        <v>21</v>
      </c>
      <c r="R94" s="24">
        <v>1</v>
      </c>
      <c r="S94" s="24" t="s">
        <v>15</v>
      </c>
      <c r="T94" s="24"/>
      <c r="U94" s="24" t="s">
        <v>568</v>
      </c>
      <c r="V94" s="24" t="s">
        <v>568</v>
      </c>
    </row>
    <row r="95" spans="2:22" s="2" customFormat="1" ht="40.5" x14ac:dyDescent="0.2">
      <c r="B95" s="19" t="str">
        <f>"86-1"</f>
        <v>86-1</v>
      </c>
      <c r="C95" s="18">
        <v>2</v>
      </c>
      <c r="D95" s="18">
        <v>340216341</v>
      </c>
      <c r="E95" s="20" t="str">
        <f t="shared" si="4"/>
        <v>340216341</v>
      </c>
      <c r="F95" s="20"/>
      <c r="G95" s="20"/>
      <c r="H95" s="35" t="e">
        <v>#N/A</v>
      </c>
      <c r="I95" s="18"/>
      <c r="J95" s="18"/>
      <c r="K95" s="18" t="s">
        <v>576</v>
      </c>
      <c r="L95" s="42" t="s">
        <v>697</v>
      </c>
      <c r="M95" s="18" t="s">
        <v>1047</v>
      </c>
      <c r="N95" s="18" t="s">
        <v>613</v>
      </c>
      <c r="O95" s="18"/>
      <c r="P95" s="18"/>
      <c r="Q95" s="18"/>
      <c r="R95" s="18"/>
      <c r="S95" s="18"/>
      <c r="T95" s="18"/>
      <c r="U95" s="18"/>
      <c r="V95" s="18"/>
    </row>
    <row r="96" spans="2:22" s="2" customFormat="1" ht="18" hidden="1" customHeight="1" x14ac:dyDescent="0.2">
      <c r="B96" s="13">
        <f>B94+1</f>
        <v>87</v>
      </c>
      <c r="C96" s="3" t="s">
        <v>22</v>
      </c>
      <c r="D96" s="3">
        <v>350001184</v>
      </c>
      <c r="E96" s="20" t="str">
        <f t="shared" si="4"/>
        <v>350001184</v>
      </c>
      <c r="F96" s="20"/>
      <c r="G96" s="20"/>
      <c r="H96" s="35">
        <v>350001184</v>
      </c>
      <c r="I96" s="3" t="s">
        <v>11</v>
      </c>
      <c r="J96" s="3" t="s">
        <v>60</v>
      </c>
      <c r="K96" s="20" t="s">
        <v>422</v>
      </c>
      <c r="L96" s="35"/>
      <c r="M96" s="20"/>
      <c r="N96" s="3" t="s">
        <v>108</v>
      </c>
      <c r="O96" s="3" t="s">
        <v>93</v>
      </c>
      <c r="P96" s="3"/>
      <c r="Q96" s="3" t="s">
        <v>55</v>
      </c>
      <c r="R96" s="3">
        <v>4</v>
      </c>
      <c r="S96" s="3" t="s">
        <v>15</v>
      </c>
      <c r="T96" s="3"/>
      <c r="U96" s="3" t="s">
        <v>552</v>
      </c>
      <c r="V96" s="3" t="s">
        <v>552</v>
      </c>
    </row>
    <row r="97" spans="2:22" s="2" customFormat="1" ht="18" hidden="1" customHeight="1" x14ac:dyDescent="0.2">
      <c r="B97" s="13">
        <f t="shared" ref="B97:B106" si="6">B96+1</f>
        <v>88</v>
      </c>
      <c r="C97" s="3" t="s">
        <v>22</v>
      </c>
      <c r="D97" s="3">
        <v>430000724</v>
      </c>
      <c r="E97" s="20" t="str">
        <f t="shared" si="4"/>
        <v>430000724</v>
      </c>
      <c r="F97" s="20"/>
      <c r="G97" s="20"/>
      <c r="H97" s="35">
        <v>430000724</v>
      </c>
      <c r="I97" s="3" t="s">
        <v>11</v>
      </c>
      <c r="J97" s="3" t="s">
        <v>109</v>
      </c>
      <c r="K97" s="20" t="s">
        <v>432</v>
      </c>
      <c r="L97" s="35"/>
      <c r="M97" s="20"/>
      <c r="N97" s="3" t="s">
        <v>110</v>
      </c>
      <c r="O97" s="3" t="s">
        <v>14</v>
      </c>
      <c r="P97" s="3"/>
      <c r="Q97" s="3" t="s">
        <v>55</v>
      </c>
      <c r="R97" s="3">
        <v>4</v>
      </c>
      <c r="S97" s="3" t="s">
        <v>15</v>
      </c>
      <c r="T97" s="3"/>
      <c r="U97" s="3" t="s">
        <v>552</v>
      </c>
      <c r="V97" s="3" t="s">
        <v>552</v>
      </c>
    </row>
    <row r="98" spans="2:22" s="2" customFormat="1" ht="18" hidden="1" customHeight="1" x14ac:dyDescent="0.2">
      <c r="B98" s="13">
        <f t="shared" si="6"/>
        <v>89</v>
      </c>
      <c r="C98" s="3" t="s">
        <v>22</v>
      </c>
      <c r="D98" s="3" t="s">
        <v>615</v>
      </c>
      <c r="E98" s="20" t="str">
        <f t="shared" si="4"/>
        <v>44S0093</v>
      </c>
      <c r="F98" s="20"/>
      <c r="G98" s="20"/>
      <c r="H98" s="35" t="s">
        <v>587</v>
      </c>
      <c r="I98" s="3" t="s">
        <v>11</v>
      </c>
      <c r="J98" s="3" t="s">
        <v>111</v>
      </c>
      <c r="K98" s="20" t="s">
        <v>433</v>
      </c>
      <c r="L98" s="35"/>
      <c r="M98" s="20"/>
      <c r="N98" s="3" t="s">
        <v>112</v>
      </c>
      <c r="O98" s="3" t="s">
        <v>14</v>
      </c>
      <c r="P98" s="3"/>
      <c r="Q98" s="3" t="s">
        <v>132</v>
      </c>
      <c r="R98" s="3">
        <v>8</v>
      </c>
      <c r="S98" s="3" t="s">
        <v>15</v>
      </c>
      <c r="T98" s="3"/>
      <c r="U98" s="3" t="s">
        <v>548</v>
      </c>
      <c r="V98" s="3" t="s">
        <v>548</v>
      </c>
    </row>
    <row r="99" spans="2:22" s="2" customFormat="1" ht="18" hidden="1" customHeight="1" x14ac:dyDescent="0.2">
      <c r="B99" s="13">
        <f t="shared" si="6"/>
        <v>90</v>
      </c>
      <c r="C99" s="3" t="s">
        <v>22</v>
      </c>
      <c r="D99" s="3">
        <v>9200106</v>
      </c>
      <c r="E99" s="20" t="str">
        <f t="shared" si="4"/>
        <v>9200106</v>
      </c>
      <c r="F99" s="20"/>
      <c r="G99" s="20"/>
      <c r="H99" s="35">
        <v>9200106</v>
      </c>
      <c r="I99" s="3" t="s">
        <v>11</v>
      </c>
      <c r="J99" s="3" t="s">
        <v>113</v>
      </c>
      <c r="K99" s="20" t="s">
        <v>434</v>
      </c>
      <c r="L99" s="35"/>
      <c r="M99" s="20"/>
      <c r="N99" s="3" t="s">
        <v>114</v>
      </c>
      <c r="O99" s="3" t="s">
        <v>133</v>
      </c>
      <c r="P99" s="3"/>
      <c r="Q99" s="3" t="s">
        <v>25</v>
      </c>
      <c r="R99" s="3">
        <v>0</v>
      </c>
      <c r="S99" s="3" t="s">
        <v>15</v>
      </c>
      <c r="T99" s="3"/>
      <c r="U99" s="3" t="s">
        <v>552</v>
      </c>
      <c r="V99" s="3" t="s">
        <v>552</v>
      </c>
    </row>
    <row r="100" spans="2:22" s="2" customFormat="1" ht="18" customHeight="1" x14ac:dyDescent="0.2">
      <c r="B100" s="19">
        <f t="shared" si="6"/>
        <v>91</v>
      </c>
      <c r="C100" s="18" t="s">
        <v>16</v>
      </c>
      <c r="D100" s="18">
        <v>110144610</v>
      </c>
      <c r="E100" s="20" t="str">
        <f t="shared" si="4"/>
        <v>110144610</v>
      </c>
      <c r="F100" s="20"/>
      <c r="G100" s="20"/>
      <c r="H100" s="35">
        <v>110144610</v>
      </c>
      <c r="I100" s="18" t="s">
        <v>11</v>
      </c>
      <c r="J100" s="27" t="s">
        <v>134</v>
      </c>
      <c r="K100" s="27" t="s">
        <v>443</v>
      </c>
      <c r="L100" s="34" t="s">
        <v>616</v>
      </c>
      <c r="M100" s="27" t="s">
        <v>617</v>
      </c>
      <c r="N100" s="18" t="s">
        <v>135</v>
      </c>
      <c r="O100" s="18" t="s">
        <v>14</v>
      </c>
      <c r="P100" s="18"/>
      <c r="Q100" s="18" t="s">
        <v>21</v>
      </c>
      <c r="R100" s="18">
        <v>1</v>
      </c>
      <c r="S100" s="18" t="s">
        <v>38</v>
      </c>
      <c r="T100" s="18"/>
      <c r="U100" s="18" t="s">
        <v>566</v>
      </c>
      <c r="V100" s="18" t="s">
        <v>566</v>
      </c>
    </row>
    <row r="101" spans="2:22" s="2" customFormat="1" ht="18" hidden="1" customHeight="1" x14ac:dyDescent="0.2">
      <c r="B101" s="13">
        <f t="shared" si="6"/>
        <v>92</v>
      </c>
      <c r="C101" s="3" t="s">
        <v>22</v>
      </c>
      <c r="D101" s="3">
        <v>170168748</v>
      </c>
      <c r="E101" s="20" t="str">
        <f t="shared" si="4"/>
        <v>170168748</v>
      </c>
      <c r="F101" s="20"/>
      <c r="G101" s="20"/>
      <c r="H101" s="35">
        <v>170168748</v>
      </c>
      <c r="I101" s="3" t="s">
        <v>11</v>
      </c>
      <c r="J101" s="3" t="s">
        <v>29</v>
      </c>
      <c r="K101" s="20" t="s">
        <v>439</v>
      </c>
      <c r="L101" s="35"/>
      <c r="M101" s="20"/>
      <c r="N101" s="3" t="s">
        <v>126</v>
      </c>
      <c r="O101" s="3" t="s">
        <v>127</v>
      </c>
      <c r="P101" s="3"/>
      <c r="Q101" s="3" t="s">
        <v>21</v>
      </c>
      <c r="R101" s="3">
        <v>1</v>
      </c>
      <c r="S101" s="3" t="s">
        <v>38</v>
      </c>
      <c r="T101" s="3"/>
      <c r="U101" s="3" t="s">
        <v>552</v>
      </c>
      <c r="V101" s="3" t="s">
        <v>583</v>
      </c>
    </row>
    <row r="102" spans="2:22" s="2" customFormat="1" ht="18" hidden="1" customHeight="1" x14ac:dyDescent="0.2">
      <c r="B102" s="13">
        <f t="shared" si="6"/>
        <v>93</v>
      </c>
      <c r="C102" s="3" t="s">
        <v>22</v>
      </c>
      <c r="D102" s="3">
        <v>170168750</v>
      </c>
      <c r="E102" s="20" t="str">
        <f t="shared" si="4"/>
        <v>170168750</v>
      </c>
      <c r="F102" s="20"/>
      <c r="G102" s="20"/>
      <c r="H102" s="35">
        <v>170168750</v>
      </c>
      <c r="I102" s="3" t="s">
        <v>11</v>
      </c>
      <c r="J102" s="3" t="s">
        <v>60</v>
      </c>
      <c r="K102" s="20" t="s">
        <v>422</v>
      </c>
      <c r="L102" s="35"/>
      <c r="M102" s="20"/>
      <c r="N102" s="3" t="s">
        <v>136</v>
      </c>
      <c r="O102" s="3" t="s">
        <v>68</v>
      </c>
      <c r="P102" s="3"/>
      <c r="Q102" s="3" t="s">
        <v>21</v>
      </c>
      <c r="R102" s="3">
        <v>1</v>
      </c>
      <c r="S102" s="3" t="s">
        <v>15</v>
      </c>
      <c r="T102" s="3"/>
      <c r="U102" s="3" t="s">
        <v>552</v>
      </c>
      <c r="V102" s="3" t="s">
        <v>583</v>
      </c>
    </row>
    <row r="103" spans="2:22" s="2" customFormat="1" ht="18" hidden="1" customHeight="1" x14ac:dyDescent="0.2">
      <c r="B103" s="13">
        <f t="shared" si="6"/>
        <v>94</v>
      </c>
      <c r="C103" s="3" t="s">
        <v>22</v>
      </c>
      <c r="D103" s="3">
        <v>300000852</v>
      </c>
      <c r="E103" s="20" t="str">
        <f t="shared" si="4"/>
        <v>300000852</v>
      </c>
      <c r="F103" s="20"/>
      <c r="G103" s="20"/>
      <c r="H103" s="35">
        <v>300000852</v>
      </c>
      <c r="I103" s="3" t="s">
        <v>11</v>
      </c>
      <c r="J103" s="3" t="s">
        <v>23</v>
      </c>
      <c r="K103" s="20" t="s">
        <v>440</v>
      </c>
      <c r="L103" s="35"/>
      <c r="M103" s="20"/>
      <c r="N103" s="3" t="s">
        <v>129</v>
      </c>
      <c r="O103" s="3" t="s">
        <v>70</v>
      </c>
      <c r="P103" s="3"/>
      <c r="Q103" s="3" t="s">
        <v>21</v>
      </c>
      <c r="R103" s="3">
        <v>1</v>
      </c>
      <c r="S103" s="3" t="s">
        <v>38</v>
      </c>
      <c r="T103" s="3"/>
      <c r="U103" s="3" t="s">
        <v>552</v>
      </c>
      <c r="V103" s="3" t="s">
        <v>552</v>
      </c>
    </row>
    <row r="104" spans="2:22" s="2" customFormat="1" ht="18" hidden="1" customHeight="1" x14ac:dyDescent="0.2">
      <c r="B104" s="13">
        <f t="shared" si="6"/>
        <v>95</v>
      </c>
      <c r="C104" s="3" t="s">
        <v>22</v>
      </c>
      <c r="D104" s="3">
        <v>320000377</v>
      </c>
      <c r="E104" s="20" t="str">
        <f t="shared" si="4"/>
        <v>320000377</v>
      </c>
      <c r="F104" s="20"/>
      <c r="G104" s="20"/>
      <c r="H104" s="35">
        <v>320000377</v>
      </c>
      <c r="I104" s="3" t="s">
        <v>11</v>
      </c>
      <c r="J104" s="3" t="s">
        <v>130</v>
      </c>
      <c r="K104" s="20" t="s">
        <v>441</v>
      </c>
      <c r="L104" s="35"/>
      <c r="M104" s="20"/>
      <c r="N104" s="3" t="s">
        <v>131</v>
      </c>
      <c r="O104" s="3" t="s">
        <v>83</v>
      </c>
      <c r="P104" s="3"/>
      <c r="Q104" s="3" t="s">
        <v>21</v>
      </c>
      <c r="R104" s="3">
        <v>1</v>
      </c>
      <c r="S104" s="3" t="s">
        <v>15</v>
      </c>
      <c r="T104" s="3"/>
      <c r="U104" s="3" t="s">
        <v>353</v>
      </c>
      <c r="V104" s="3" t="s">
        <v>552</v>
      </c>
    </row>
    <row r="105" spans="2:22" s="2" customFormat="1" ht="18" hidden="1" customHeight="1" x14ac:dyDescent="0.2">
      <c r="B105" s="13">
        <f t="shared" si="6"/>
        <v>96</v>
      </c>
      <c r="C105" s="3" t="s">
        <v>22</v>
      </c>
      <c r="D105" s="3">
        <v>340001871</v>
      </c>
      <c r="E105" s="20" t="str">
        <f t="shared" si="4"/>
        <v>340001871</v>
      </c>
      <c r="F105" s="20"/>
      <c r="G105" s="20"/>
      <c r="H105" s="35">
        <v>340001871</v>
      </c>
      <c r="I105" s="3" t="s">
        <v>11</v>
      </c>
      <c r="J105" s="3" t="s">
        <v>23</v>
      </c>
      <c r="K105" s="20" t="s">
        <v>442</v>
      </c>
      <c r="L105" s="35"/>
      <c r="M105" s="20"/>
      <c r="N105" s="3" t="s">
        <v>618</v>
      </c>
      <c r="O105" s="3" t="s">
        <v>106</v>
      </c>
      <c r="P105" s="3"/>
      <c r="Q105" s="3" t="s">
        <v>18</v>
      </c>
      <c r="R105" s="3">
        <v>2</v>
      </c>
      <c r="S105" s="3" t="s">
        <v>38</v>
      </c>
      <c r="T105" s="3"/>
      <c r="U105" s="3" t="s">
        <v>552</v>
      </c>
      <c r="V105" s="3" t="s">
        <v>552</v>
      </c>
    </row>
    <row r="106" spans="2:22" s="2" customFormat="1" ht="13.5" hidden="1" customHeight="1" x14ac:dyDescent="0.2">
      <c r="B106" s="28">
        <f t="shared" si="6"/>
        <v>97</v>
      </c>
      <c r="C106" s="24" t="s">
        <v>22</v>
      </c>
      <c r="D106" s="24">
        <v>3402049</v>
      </c>
      <c r="E106" s="29" t="str">
        <f t="shared" si="4"/>
        <v>3402049</v>
      </c>
      <c r="F106" s="29"/>
      <c r="G106" s="29"/>
      <c r="H106" s="35">
        <v>3402049</v>
      </c>
      <c r="I106" s="24" t="s">
        <v>11</v>
      </c>
      <c r="J106" s="24" t="s">
        <v>60</v>
      </c>
      <c r="K106" s="24" t="e">
        <v>#N/A</v>
      </c>
      <c r="L106" s="37"/>
      <c r="M106" s="4" t="s">
        <v>614</v>
      </c>
      <c r="N106" s="24" t="s">
        <v>105</v>
      </c>
      <c r="O106" s="24" t="s">
        <v>76</v>
      </c>
      <c r="P106" s="24"/>
      <c r="Q106" s="24" t="s">
        <v>21</v>
      </c>
      <c r="R106" s="24">
        <v>1</v>
      </c>
      <c r="S106" s="24" t="s">
        <v>15</v>
      </c>
      <c r="T106" s="24"/>
      <c r="U106" s="24" t="s">
        <v>346</v>
      </c>
      <c r="V106" s="24" t="s">
        <v>568</v>
      </c>
    </row>
    <row r="107" spans="2:22" s="2" customFormat="1" ht="40.5" x14ac:dyDescent="0.2">
      <c r="B107" s="19" t="str">
        <f>"97-1"</f>
        <v>97-1</v>
      </c>
      <c r="C107" s="18">
        <v>2</v>
      </c>
      <c r="D107" s="18">
        <v>340216341</v>
      </c>
      <c r="E107" s="20" t="str">
        <f t="shared" si="4"/>
        <v>340216341</v>
      </c>
      <c r="F107" s="20"/>
      <c r="G107" s="20"/>
      <c r="H107" s="35" t="e">
        <v>#N/A</v>
      </c>
      <c r="I107" s="18"/>
      <c r="J107" s="18"/>
      <c r="K107" s="18" t="s">
        <v>576</v>
      </c>
      <c r="L107" s="42" t="s">
        <v>697</v>
      </c>
      <c r="M107" s="18" t="s">
        <v>619</v>
      </c>
      <c r="N107" s="18" t="s">
        <v>618</v>
      </c>
      <c r="O107" s="18"/>
      <c r="P107" s="18"/>
      <c r="Q107" s="18"/>
      <c r="R107" s="18"/>
      <c r="S107" s="18"/>
      <c r="T107" s="18"/>
      <c r="U107" s="18"/>
      <c r="V107" s="18"/>
    </row>
    <row r="108" spans="2:22" s="2" customFormat="1" ht="18" hidden="1" customHeight="1" x14ac:dyDescent="0.2">
      <c r="B108" s="13">
        <f>B106+1</f>
        <v>98</v>
      </c>
      <c r="C108" s="3" t="s">
        <v>22</v>
      </c>
      <c r="D108" s="3">
        <v>350001184</v>
      </c>
      <c r="E108" s="20" t="str">
        <f t="shared" si="4"/>
        <v>350001184</v>
      </c>
      <c r="F108" s="20"/>
      <c r="G108" s="20"/>
      <c r="H108" s="35">
        <v>350001184</v>
      </c>
      <c r="I108" s="3" t="s">
        <v>11</v>
      </c>
      <c r="J108" s="3" t="s">
        <v>60</v>
      </c>
      <c r="K108" s="20" t="s">
        <v>422</v>
      </c>
      <c r="L108" s="35"/>
      <c r="M108" s="20"/>
      <c r="N108" s="3" t="s">
        <v>108</v>
      </c>
      <c r="O108" s="3" t="s">
        <v>77</v>
      </c>
      <c r="P108" s="3"/>
      <c r="Q108" s="3" t="s">
        <v>55</v>
      </c>
      <c r="R108" s="3">
        <v>4</v>
      </c>
      <c r="S108" s="3" t="s">
        <v>15</v>
      </c>
      <c r="T108" s="3"/>
      <c r="U108" s="3" t="s">
        <v>552</v>
      </c>
      <c r="V108" s="3" t="s">
        <v>568</v>
      </c>
    </row>
    <row r="109" spans="2:22" s="2" customFormat="1" ht="18" hidden="1" customHeight="1" x14ac:dyDescent="0.2">
      <c r="B109" s="13">
        <f>B108+1</f>
        <v>99</v>
      </c>
      <c r="C109" s="3" t="s">
        <v>22</v>
      </c>
      <c r="D109" s="3">
        <v>430000724</v>
      </c>
      <c r="E109" s="20" t="str">
        <f t="shared" si="4"/>
        <v>430000724</v>
      </c>
      <c r="F109" s="20"/>
      <c r="G109" s="20"/>
      <c r="H109" s="35">
        <v>430000724</v>
      </c>
      <c r="I109" s="3" t="s">
        <v>11</v>
      </c>
      <c r="J109" s="3" t="s">
        <v>109</v>
      </c>
      <c r="K109" s="20" t="s">
        <v>432</v>
      </c>
      <c r="L109" s="35"/>
      <c r="M109" s="20"/>
      <c r="N109" s="3" t="s">
        <v>110</v>
      </c>
      <c r="O109" s="3" t="s">
        <v>14</v>
      </c>
      <c r="P109" s="3"/>
      <c r="Q109" s="3" t="s">
        <v>55</v>
      </c>
      <c r="R109" s="3">
        <v>4</v>
      </c>
      <c r="S109" s="3" t="s">
        <v>15</v>
      </c>
      <c r="T109" s="3"/>
      <c r="U109" s="3" t="s">
        <v>346</v>
      </c>
      <c r="V109" s="3" t="s">
        <v>568</v>
      </c>
    </row>
    <row r="110" spans="2:22" s="2" customFormat="1" ht="18" hidden="1" customHeight="1" x14ac:dyDescent="0.2">
      <c r="B110" s="13">
        <f>B109+1</f>
        <v>100</v>
      </c>
      <c r="C110" s="3" t="s">
        <v>22</v>
      </c>
      <c r="D110" s="3" t="s">
        <v>620</v>
      </c>
      <c r="E110" s="20" t="str">
        <f t="shared" si="4"/>
        <v>44S0093</v>
      </c>
      <c r="F110" s="20"/>
      <c r="G110" s="20"/>
      <c r="H110" s="35" t="s">
        <v>587</v>
      </c>
      <c r="I110" s="3" t="s">
        <v>11</v>
      </c>
      <c r="J110" s="3" t="s">
        <v>111</v>
      </c>
      <c r="K110" s="20" t="s">
        <v>433</v>
      </c>
      <c r="L110" s="35"/>
      <c r="M110" s="20"/>
      <c r="N110" s="3" t="s">
        <v>112</v>
      </c>
      <c r="O110" s="3" t="s">
        <v>14</v>
      </c>
      <c r="P110" s="3"/>
      <c r="Q110" s="3" t="s">
        <v>132</v>
      </c>
      <c r="R110" s="3">
        <v>8</v>
      </c>
      <c r="S110" s="3" t="s">
        <v>15</v>
      </c>
      <c r="T110" s="3"/>
      <c r="U110" s="3" t="s">
        <v>552</v>
      </c>
      <c r="V110" s="3" t="s">
        <v>551</v>
      </c>
    </row>
    <row r="111" spans="2:22" s="2" customFormat="1" ht="18" customHeight="1" x14ac:dyDescent="0.25">
      <c r="B111" s="19" t="str">
        <f>"100-1"</f>
        <v>100-1</v>
      </c>
      <c r="C111" s="18">
        <v>2</v>
      </c>
      <c r="D111" s="30" t="s">
        <v>515</v>
      </c>
      <c r="E111" s="20" t="str">
        <f t="shared" si="4"/>
        <v>900000909</v>
      </c>
      <c r="F111" s="20"/>
      <c r="G111" s="20"/>
      <c r="H111" s="35" t="e">
        <v>#N/A</v>
      </c>
      <c r="I111" s="18" t="s">
        <v>11</v>
      </c>
      <c r="J111" s="18"/>
      <c r="K111" s="18" t="s">
        <v>506</v>
      </c>
      <c r="L111" s="35" t="s">
        <v>559</v>
      </c>
      <c r="M111" s="18" t="s">
        <v>621</v>
      </c>
      <c r="N111" s="18" t="s">
        <v>622</v>
      </c>
      <c r="O111" s="18"/>
      <c r="P111" s="18"/>
      <c r="Q111" s="18" t="s">
        <v>623</v>
      </c>
      <c r="R111" s="18"/>
      <c r="S111" s="18"/>
      <c r="T111" s="18"/>
      <c r="U111" s="18"/>
      <c r="V111" s="18"/>
    </row>
    <row r="112" spans="2:22" s="2" customFormat="1" ht="18" hidden="1" customHeight="1" x14ac:dyDescent="0.2">
      <c r="B112" s="13">
        <f>B110+1</f>
        <v>101</v>
      </c>
      <c r="C112" s="3" t="s">
        <v>22</v>
      </c>
      <c r="D112" s="3">
        <v>9200106</v>
      </c>
      <c r="E112" s="20" t="str">
        <f t="shared" si="4"/>
        <v>9200106</v>
      </c>
      <c r="F112" s="20"/>
      <c r="G112" s="20"/>
      <c r="H112" s="35">
        <v>9200106</v>
      </c>
      <c r="I112" s="3" t="s">
        <v>11</v>
      </c>
      <c r="J112" s="3" t="s">
        <v>113</v>
      </c>
      <c r="K112" s="20" t="s">
        <v>434</v>
      </c>
      <c r="L112" s="35"/>
      <c r="M112" s="20"/>
      <c r="N112" s="3" t="s">
        <v>114</v>
      </c>
      <c r="O112" s="3" t="s">
        <v>90</v>
      </c>
      <c r="P112" s="3"/>
      <c r="Q112" s="3" t="s">
        <v>25</v>
      </c>
      <c r="R112" s="3">
        <v>0</v>
      </c>
      <c r="S112" s="3" t="s">
        <v>15</v>
      </c>
      <c r="T112" s="3"/>
      <c r="U112" s="3" t="s">
        <v>551</v>
      </c>
      <c r="V112" s="3" t="s">
        <v>346</v>
      </c>
    </row>
    <row r="113" spans="2:22" s="2" customFormat="1" ht="18" customHeight="1" x14ac:dyDescent="0.2">
      <c r="B113" s="19">
        <f t="shared" ref="B113:B119" si="7">B112+1</f>
        <v>102</v>
      </c>
      <c r="C113" s="18" t="s">
        <v>16</v>
      </c>
      <c r="D113" s="18">
        <v>110144620</v>
      </c>
      <c r="E113" s="20" t="str">
        <f t="shared" si="4"/>
        <v>110144620</v>
      </c>
      <c r="F113" s="20"/>
      <c r="G113" s="20"/>
      <c r="H113" s="35">
        <v>110144620</v>
      </c>
      <c r="I113" s="18" t="s">
        <v>11</v>
      </c>
      <c r="J113" s="27" t="s">
        <v>98</v>
      </c>
      <c r="K113" s="27" t="s">
        <v>443</v>
      </c>
      <c r="L113" s="34" t="s">
        <v>590</v>
      </c>
      <c r="M113" s="27" t="s">
        <v>624</v>
      </c>
      <c r="N113" s="18" t="s">
        <v>137</v>
      </c>
      <c r="O113" s="18" t="s">
        <v>14</v>
      </c>
      <c r="P113" s="18"/>
      <c r="Q113" s="18" t="s">
        <v>21</v>
      </c>
      <c r="R113" s="18">
        <v>1</v>
      </c>
      <c r="S113" s="18" t="s">
        <v>38</v>
      </c>
      <c r="T113" s="18"/>
      <c r="U113" s="18" t="s">
        <v>354</v>
      </c>
      <c r="V113" s="18" t="s">
        <v>566</v>
      </c>
    </row>
    <row r="114" spans="2:22" s="2" customFormat="1" ht="18" hidden="1" customHeight="1" x14ac:dyDescent="0.2">
      <c r="B114" s="13">
        <f t="shared" si="7"/>
        <v>103</v>
      </c>
      <c r="C114" s="3" t="s">
        <v>22</v>
      </c>
      <c r="D114" s="3">
        <v>170168746</v>
      </c>
      <c r="E114" s="20" t="str">
        <f t="shared" si="4"/>
        <v>170168746</v>
      </c>
      <c r="F114" s="20"/>
      <c r="G114" s="20"/>
      <c r="H114" s="35">
        <v>170168746</v>
      </c>
      <c r="I114" s="3" t="s">
        <v>11</v>
      </c>
      <c r="J114" s="3" t="s">
        <v>60</v>
      </c>
      <c r="K114" s="20" t="s">
        <v>422</v>
      </c>
      <c r="L114" s="35"/>
      <c r="M114" s="20"/>
      <c r="N114" s="3" t="s">
        <v>138</v>
      </c>
      <c r="O114" s="3" t="s">
        <v>68</v>
      </c>
      <c r="P114" s="3"/>
      <c r="Q114" s="3" t="s">
        <v>21</v>
      </c>
      <c r="R114" s="3">
        <v>1</v>
      </c>
      <c r="S114" s="3" t="s">
        <v>15</v>
      </c>
      <c r="T114" s="3"/>
      <c r="U114" s="3" t="s">
        <v>547</v>
      </c>
      <c r="V114" s="3" t="s">
        <v>396</v>
      </c>
    </row>
    <row r="115" spans="2:22" s="2" customFormat="1" ht="18" hidden="1" customHeight="1" x14ac:dyDescent="0.2">
      <c r="B115" s="13">
        <f t="shared" si="7"/>
        <v>104</v>
      </c>
      <c r="C115" s="3" t="s">
        <v>22</v>
      </c>
      <c r="D115" s="3">
        <v>170168753</v>
      </c>
      <c r="E115" s="20" t="str">
        <f t="shared" si="4"/>
        <v>170168753</v>
      </c>
      <c r="F115" s="20"/>
      <c r="G115" s="20"/>
      <c r="H115" s="35">
        <v>170168753</v>
      </c>
      <c r="I115" s="3" t="s">
        <v>11</v>
      </c>
      <c r="J115" s="3" t="s">
        <v>29</v>
      </c>
      <c r="K115" s="20" t="s">
        <v>412</v>
      </c>
      <c r="L115" s="35"/>
      <c r="M115" s="20"/>
      <c r="N115" s="3" t="s">
        <v>139</v>
      </c>
      <c r="O115" s="3" t="s">
        <v>14</v>
      </c>
      <c r="P115" s="3"/>
      <c r="Q115" s="3" t="s">
        <v>21</v>
      </c>
      <c r="R115" s="3">
        <v>1</v>
      </c>
      <c r="S115" s="3" t="s">
        <v>15</v>
      </c>
      <c r="T115" s="3"/>
      <c r="U115" s="3" t="s">
        <v>568</v>
      </c>
      <c r="V115" s="3" t="s">
        <v>608</v>
      </c>
    </row>
    <row r="116" spans="2:22" s="2" customFormat="1" ht="18" hidden="1" customHeight="1" x14ac:dyDescent="0.2">
      <c r="B116" s="28">
        <f t="shared" si="7"/>
        <v>105</v>
      </c>
      <c r="C116" s="24" t="s">
        <v>22</v>
      </c>
      <c r="D116" s="24" t="s">
        <v>625</v>
      </c>
      <c r="E116" s="29" t="str">
        <f t="shared" si="4"/>
        <v>2001-0022-0011</v>
      </c>
      <c r="F116" s="29"/>
      <c r="G116" s="29"/>
      <c r="H116" s="35" t="s">
        <v>626</v>
      </c>
      <c r="I116" s="24" t="s">
        <v>11</v>
      </c>
      <c r="J116" s="24" t="s">
        <v>23</v>
      </c>
      <c r="K116" s="24" t="e">
        <v>#N/A</v>
      </c>
      <c r="L116" s="37"/>
      <c r="M116" s="4" t="s">
        <v>627</v>
      </c>
      <c r="N116" s="24" t="s">
        <v>628</v>
      </c>
      <c r="O116" s="24" t="s">
        <v>70</v>
      </c>
      <c r="P116" s="24"/>
      <c r="Q116" s="24" t="s">
        <v>21</v>
      </c>
      <c r="R116" s="24">
        <v>1</v>
      </c>
      <c r="S116" s="24" t="s">
        <v>15</v>
      </c>
      <c r="T116" s="24"/>
      <c r="U116" s="24" t="s">
        <v>568</v>
      </c>
      <c r="V116" s="24" t="s">
        <v>552</v>
      </c>
    </row>
    <row r="117" spans="2:22" s="2" customFormat="1" ht="18" hidden="1" customHeight="1" x14ac:dyDescent="0.2">
      <c r="B117" s="13">
        <f t="shared" si="7"/>
        <v>106</v>
      </c>
      <c r="C117" s="3" t="s">
        <v>22</v>
      </c>
      <c r="D117" s="3">
        <v>300000069</v>
      </c>
      <c r="E117" s="20" t="str">
        <f t="shared" si="4"/>
        <v>300000069</v>
      </c>
      <c r="F117" s="20"/>
      <c r="G117" s="20"/>
      <c r="H117" s="35">
        <v>300000069</v>
      </c>
      <c r="I117" s="3" t="s">
        <v>11</v>
      </c>
      <c r="J117" s="3" t="s">
        <v>141</v>
      </c>
      <c r="K117" s="20" t="s">
        <v>442</v>
      </c>
      <c r="L117" s="35"/>
      <c r="M117" s="20"/>
      <c r="N117" s="3" t="s">
        <v>142</v>
      </c>
      <c r="O117" s="3" t="s">
        <v>83</v>
      </c>
      <c r="P117" s="3"/>
      <c r="Q117" s="3" t="s">
        <v>21</v>
      </c>
      <c r="R117" s="3">
        <v>1</v>
      </c>
      <c r="S117" s="3" t="s">
        <v>15</v>
      </c>
      <c r="T117" s="3"/>
      <c r="U117" s="3" t="s">
        <v>568</v>
      </c>
      <c r="V117" s="3" t="s">
        <v>551</v>
      </c>
    </row>
    <row r="118" spans="2:22" s="2" customFormat="1" ht="18" hidden="1" customHeight="1" x14ac:dyDescent="0.2">
      <c r="B118" s="13">
        <f t="shared" si="7"/>
        <v>107</v>
      </c>
      <c r="C118" s="3" t="s">
        <v>22</v>
      </c>
      <c r="D118" s="3">
        <v>320000363</v>
      </c>
      <c r="E118" s="20" t="str">
        <f t="shared" si="4"/>
        <v>320000363</v>
      </c>
      <c r="F118" s="20"/>
      <c r="G118" s="20"/>
      <c r="H118" s="35">
        <v>320000363</v>
      </c>
      <c r="I118" s="3" t="s">
        <v>11</v>
      </c>
      <c r="J118" s="3" t="s">
        <v>29</v>
      </c>
      <c r="K118" s="20" t="s">
        <v>412</v>
      </c>
      <c r="L118" s="35"/>
      <c r="M118" s="20"/>
      <c r="N118" s="3" t="s">
        <v>103</v>
      </c>
      <c r="O118" s="3" t="s">
        <v>106</v>
      </c>
      <c r="P118" s="3"/>
      <c r="Q118" s="3" t="s">
        <v>21</v>
      </c>
      <c r="R118" s="3">
        <v>1</v>
      </c>
      <c r="S118" s="3" t="s">
        <v>15</v>
      </c>
      <c r="T118" s="3"/>
      <c r="U118" s="3" t="s">
        <v>568</v>
      </c>
      <c r="V118" s="3" t="s">
        <v>551</v>
      </c>
    </row>
    <row r="119" spans="2:22" s="2" customFormat="1" ht="18" hidden="1" customHeight="1" x14ac:dyDescent="0.2">
      <c r="B119" s="13">
        <f t="shared" si="7"/>
        <v>108</v>
      </c>
      <c r="C119" s="3" t="s">
        <v>22</v>
      </c>
      <c r="D119" s="3">
        <v>340001643</v>
      </c>
      <c r="E119" s="20" t="str">
        <f t="shared" si="4"/>
        <v>340001643</v>
      </c>
      <c r="F119" s="20"/>
      <c r="G119" s="20"/>
      <c r="H119" s="35">
        <v>340001643</v>
      </c>
      <c r="I119" s="3" t="s">
        <v>11</v>
      </c>
      <c r="J119" s="3" t="s">
        <v>23</v>
      </c>
      <c r="K119" s="20" t="s">
        <v>410</v>
      </c>
      <c r="L119" s="35"/>
      <c r="M119" s="20"/>
      <c r="N119" s="3" t="s">
        <v>143</v>
      </c>
      <c r="O119" s="3" t="s">
        <v>76</v>
      </c>
      <c r="P119" s="3"/>
      <c r="Q119" s="3" t="s">
        <v>21</v>
      </c>
      <c r="R119" s="3">
        <v>1</v>
      </c>
      <c r="S119" s="3" t="s">
        <v>15</v>
      </c>
      <c r="T119" s="3"/>
      <c r="U119" s="3" t="s">
        <v>552</v>
      </c>
      <c r="V119" s="3" t="s">
        <v>552</v>
      </c>
    </row>
    <row r="120" spans="2:22" s="2" customFormat="1" ht="18" customHeight="1" x14ac:dyDescent="0.2">
      <c r="B120" s="19" t="s">
        <v>629</v>
      </c>
      <c r="C120" s="18" t="s">
        <v>22</v>
      </c>
      <c r="D120" s="18">
        <v>340001871</v>
      </c>
      <c r="E120" s="20" t="str">
        <f t="shared" si="4"/>
        <v>340001871</v>
      </c>
      <c r="F120" s="20"/>
      <c r="G120" s="20"/>
      <c r="H120" s="35">
        <v>340001871</v>
      </c>
      <c r="I120" s="18" t="s">
        <v>11</v>
      </c>
      <c r="J120" s="18" t="s">
        <v>630</v>
      </c>
      <c r="K120" s="18" t="s">
        <v>442</v>
      </c>
      <c r="L120" s="35" t="s">
        <v>610</v>
      </c>
      <c r="M120" s="18" t="s">
        <v>520</v>
      </c>
      <c r="N120" s="18" t="s">
        <v>613</v>
      </c>
      <c r="O120" s="18" t="s">
        <v>76</v>
      </c>
      <c r="P120" s="18"/>
      <c r="Q120" s="18" t="s">
        <v>18</v>
      </c>
      <c r="R120" s="18">
        <v>2</v>
      </c>
      <c r="S120" s="18" t="s">
        <v>38</v>
      </c>
      <c r="T120" s="18"/>
      <c r="U120" s="18" t="s">
        <v>568</v>
      </c>
      <c r="V120" s="18" t="s">
        <v>346</v>
      </c>
    </row>
    <row r="121" spans="2:22" s="2" customFormat="1" ht="18" hidden="1" customHeight="1" x14ac:dyDescent="0.2">
      <c r="B121" s="13">
        <f>B119+1</f>
        <v>109</v>
      </c>
      <c r="C121" s="3" t="s">
        <v>22</v>
      </c>
      <c r="D121" s="3">
        <v>340002212</v>
      </c>
      <c r="E121" s="20" t="str">
        <f t="shared" si="4"/>
        <v>340002212</v>
      </c>
      <c r="F121" s="20"/>
      <c r="G121" s="20"/>
      <c r="H121" s="35">
        <v>340002212</v>
      </c>
      <c r="I121" s="3" t="s">
        <v>11</v>
      </c>
      <c r="J121" s="3" t="s">
        <v>23</v>
      </c>
      <c r="K121" s="20" t="s">
        <v>410</v>
      </c>
      <c r="L121" s="35"/>
      <c r="M121" s="20"/>
      <c r="N121" s="3" t="s">
        <v>104</v>
      </c>
      <c r="O121" s="3" t="s">
        <v>77</v>
      </c>
      <c r="P121" s="3"/>
      <c r="Q121" s="3" t="s">
        <v>18</v>
      </c>
      <c r="R121" s="3">
        <v>2</v>
      </c>
      <c r="S121" s="3" t="s">
        <v>15</v>
      </c>
      <c r="T121" s="3"/>
      <c r="U121" s="3" t="s">
        <v>552</v>
      </c>
      <c r="V121" s="3" t="s">
        <v>568</v>
      </c>
    </row>
    <row r="122" spans="2:22" s="2" customFormat="1" ht="18" hidden="1" customHeight="1" x14ac:dyDescent="0.2">
      <c r="B122" s="28">
        <f>B121+1</f>
        <v>110</v>
      </c>
      <c r="C122" s="24" t="s">
        <v>22</v>
      </c>
      <c r="D122" s="38" t="s">
        <v>531</v>
      </c>
      <c r="E122" s="24" t="str">
        <f t="shared" si="4"/>
        <v>3400490
→ 340218502</v>
      </c>
      <c r="F122" s="24"/>
      <c r="G122" s="24"/>
      <c r="H122" s="39" t="s">
        <v>631</v>
      </c>
      <c r="I122" s="24" t="s">
        <v>11</v>
      </c>
      <c r="J122" s="24" t="s">
        <v>56</v>
      </c>
      <c r="K122" s="24" t="e">
        <v>#N/A</v>
      </c>
      <c r="L122" s="37"/>
      <c r="M122" s="24" t="s">
        <v>632</v>
      </c>
      <c r="N122" s="24" t="s">
        <v>144</v>
      </c>
      <c r="O122" s="24" t="s">
        <v>93</v>
      </c>
      <c r="P122" s="24"/>
      <c r="Q122" s="24" t="s">
        <v>21</v>
      </c>
      <c r="R122" s="24">
        <v>1</v>
      </c>
      <c r="S122" s="24" t="s">
        <v>15</v>
      </c>
      <c r="T122" s="24"/>
      <c r="U122" s="24" t="s">
        <v>568</v>
      </c>
      <c r="V122" s="24" t="s">
        <v>346</v>
      </c>
    </row>
    <row r="123" spans="2:22" s="2" customFormat="1" ht="18" customHeight="1" x14ac:dyDescent="0.2">
      <c r="B123" s="19" t="str">
        <f>"110-1"</f>
        <v>110-1</v>
      </c>
      <c r="C123" s="18">
        <v>2</v>
      </c>
      <c r="D123" s="18">
        <v>340218502</v>
      </c>
      <c r="E123" s="18"/>
      <c r="F123" s="18"/>
      <c r="G123" s="18"/>
      <c r="H123" s="35" t="e">
        <v>#N/A</v>
      </c>
      <c r="I123" s="18" t="s">
        <v>11</v>
      </c>
      <c r="J123" s="18"/>
      <c r="K123" s="18" t="s">
        <v>633</v>
      </c>
      <c r="L123" s="35" t="s">
        <v>557</v>
      </c>
      <c r="M123" s="18" t="s">
        <v>634</v>
      </c>
      <c r="N123" s="18" t="s">
        <v>635</v>
      </c>
      <c r="O123" s="18"/>
      <c r="P123" s="18"/>
      <c r="Q123" s="18"/>
      <c r="R123" s="18">
        <v>1</v>
      </c>
      <c r="S123" s="18" t="s">
        <v>15</v>
      </c>
      <c r="T123" s="18"/>
      <c r="U123" s="18"/>
      <c r="V123" s="18" t="s">
        <v>695</v>
      </c>
    </row>
    <row r="124" spans="2:22" s="2" customFormat="1" ht="18" hidden="1" customHeight="1" x14ac:dyDescent="0.2">
      <c r="B124" s="13">
        <f>B122+1</f>
        <v>111</v>
      </c>
      <c r="C124" s="3" t="s">
        <v>22</v>
      </c>
      <c r="D124" s="3">
        <v>3400775</v>
      </c>
      <c r="E124" s="20" t="str">
        <f t="shared" ref="E124:E140" si="8">TRIM(D124)</f>
        <v>3400775</v>
      </c>
      <c r="F124" s="20"/>
      <c r="G124" s="20"/>
      <c r="H124" s="35">
        <v>3400775</v>
      </c>
      <c r="I124" s="3" t="s">
        <v>11</v>
      </c>
      <c r="J124" s="3" t="s">
        <v>34</v>
      </c>
      <c r="K124" s="20" t="s">
        <v>418</v>
      </c>
      <c r="L124" s="35"/>
      <c r="M124" s="20"/>
      <c r="N124" s="3" t="s">
        <v>145</v>
      </c>
      <c r="O124" s="3" t="s">
        <v>96</v>
      </c>
      <c r="P124" s="3"/>
      <c r="Q124" s="3" t="s">
        <v>21</v>
      </c>
      <c r="R124" s="3">
        <v>1</v>
      </c>
      <c r="S124" s="3" t="s">
        <v>15</v>
      </c>
      <c r="T124" s="3"/>
      <c r="U124" s="3" t="s">
        <v>547</v>
      </c>
      <c r="V124" s="3" t="s">
        <v>568</v>
      </c>
    </row>
    <row r="125" spans="2:22" s="2" customFormat="1" ht="18" hidden="1" customHeight="1" x14ac:dyDescent="0.2">
      <c r="B125" s="13">
        <f>B124+1</f>
        <v>112</v>
      </c>
      <c r="C125" s="3" t="s">
        <v>22</v>
      </c>
      <c r="D125" s="3">
        <v>3402049</v>
      </c>
      <c r="E125" s="20" t="str">
        <f t="shared" si="8"/>
        <v>3402049</v>
      </c>
      <c r="F125" s="20"/>
      <c r="G125" s="20"/>
      <c r="H125" s="35">
        <v>3402049</v>
      </c>
      <c r="I125" s="3" t="s">
        <v>11</v>
      </c>
      <c r="J125" s="3" t="s">
        <v>60</v>
      </c>
      <c r="K125" s="20" t="e">
        <v>#N/A</v>
      </c>
      <c r="L125" s="35"/>
      <c r="M125" s="20"/>
      <c r="N125" s="3" t="s">
        <v>105</v>
      </c>
      <c r="O125" s="3" t="s">
        <v>72</v>
      </c>
      <c r="P125" s="3"/>
      <c r="Q125" s="3" t="s">
        <v>21</v>
      </c>
      <c r="R125" s="3">
        <v>1</v>
      </c>
      <c r="S125" s="3" t="s">
        <v>15</v>
      </c>
      <c r="T125" s="3"/>
      <c r="U125" s="3" t="s">
        <v>568</v>
      </c>
      <c r="V125" s="3" t="s">
        <v>547</v>
      </c>
    </row>
    <row r="126" spans="2:22" s="2" customFormat="1" ht="18" hidden="1" customHeight="1" x14ac:dyDescent="0.2">
      <c r="B126" s="13">
        <f>B125+1</f>
        <v>113</v>
      </c>
      <c r="C126" s="3" t="s">
        <v>22</v>
      </c>
      <c r="D126" s="3">
        <v>3402419</v>
      </c>
      <c r="E126" s="20" t="str">
        <f t="shared" si="8"/>
        <v>3402419</v>
      </c>
      <c r="F126" s="20"/>
      <c r="G126" s="20"/>
      <c r="H126" s="35">
        <v>3402419</v>
      </c>
      <c r="I126" s="3" t="s">
        <v>11</v>
      </c>
      <c r="J126" s="3" t="s">
        <v>146</v>
      </c>
      <c r="K126" s="20" t="s">
        <v>444</v>
      </c>
      <c r="L126" s="40"/>
      <c r="N126" s="3" t="s">
        <v>147</v>
      </c>
      <c r="O126" s="3" t="s">
        <v>90</v>
      </c>
      <c r="P126" s="3"/>
      <c r="Q126" s="3" t="s">
        <v>21</v>
      </c>
      <c r="R126" s="3">
        <v>1</v>
      </c>
      <c r="S126" s="3" t="s">
        <v>15</v>
      </c>
      <c r="T126" s="3"/>
      <c r="U126" s="3" t="s">
        <v>552</v>
      </c>
      <c r="V126" s="3" t="s">
        <v>568</v>
      </c>
    </row>
    <row r="127" spans="2:22" s="2" customFormat="1" ht="18" hidden="1" customHeight="1" x14ac:dyDescent="0.2">
      <c r="B127" s="13">
        <f>B126+1</f>
        <v>114</v>
      </c>
      <c r="C127" s="3" t="s">
        <v>22</v>
      </c>
      <c r="D127" s="3">
        <v>350001184</v>
      </c>
      <c r="E127" s="20" t="str">
        <f t="shared" si="8"/>
        <v>350001184</v>
      </c>
      <c r="F127" s="20"/>
      <c r="G127" s="20"/>
      <c r="H127" s="35">
        <v>350001184</v>
      </c>
      <c r="I127" s="3" t="s">
        <v>11</v>
      </c>
      <c r="J127" s="3" t="s">
        <v>60</v>
      </c>
      <c r="K127" s="20" t="s">
        <v>422</v>
      </c>
      <c r="L127" s="35"/>
      <c r="M127" s="20"/>
      <c r="N127" s="3" t="s">
        <v>108</v>
      </c>
      <c r="O127" s="3" t="s">
        <v>133</v>
      </c>
      <c r="P127" s="3"/>
      <c r="Q127" s="3" t="s">
        <v>18</v>
      </c>
      <c r="R127" s="3">
        <v>2</v>
      </c>
      <c r="S127" s="3" t="s">
        <v>15</v>
      </c>
      <c r="T127" s="3"/>
      <c r="U127" s="3" t="s">
        <v>568</v>
      </c>
      <c r="V127" s="3" t="s">
        <v>552</v>
      </c>
    </row>
    <row r="128" spans="2:22" s="2" customFormat="1" ht="18" hidden="1" customHeight="1" x14ac:dyDescent="0.2">
      <c r="B128" s="13">
        <f>B127+1</f>
        <v>115</v>
      </c>
      <c r="C128" s="3" t="s">
        <v>22</v>
      </c>
      <c r="D128" s="3">
        <v>430000724</v>
      </c>
      <c r="E128" s="20" t="str">
        <f t="shared" si="8"/>
        <v>430000724</v>
      </c>
      <c r="F128" s="20"/>
      <c r="G128" s="20"/>
      <c r="H128" s="35">
        <v>430000724</v>
      </c>
      <c r="I128" s="3" t="s">
        <v>11</v>
      </c>
      <c r="J128" s="3" t="s">
        <v>109</v>
      </c>
      <c r="K128" s="20" t="s">
        <v>432</v>
      </c>
      <c r="L128" s="35"/>
      <c r="M128" s="20"/>
      <c r="N128" s="3" t="s">
        <v>110</v>
      </c>
      <c r="O128" s="3" t="s">
        <v>14</v>
      </c>
      <c r="P128" s="3"/>
      <c r="Q128" s="3" t="s">
        <v>18</v>
      </c>
      <c r="R128" s="3">
        <v>2</v>
      </c>
      <c r="S128" s="3" t="s">
        <v>15</v>
      </c>
      <c r="T128" s="3"/>
      <c r="U128" s="3" t="s">
        <v>552</v>
      </c>
      <c r="V128" s="3" t="s">
        <v>568</v>
      </c>
    </row>
    <row r="129" spans="2:22" s="2" customFormat="1" ht="18" hidden="1" customHeight="1" x14ac:dyDescent="0.2">
      <c r="B129" s="13">
        <f>B128+1</f>
        <v>116</v>
      </c>
      <c r="C129" s="3" t="s">
        <v>22</v>
      </c>
      <c r="D129" s="3" t="s">
        <v>615</v>
      </c>
      <c r="E129" s="20" t="str">
        <f t="shared" si="8"/>
        <v>44S0093</v>
      </c>
      <c r="F129" s="20"/>
      <c r="G129" s="20"/>
      <c r="H129" s="35" t="s">
        <v>587</v>
      </c>
      <c r="I129" s="3" t="s">
        <v>11</v>
      </c>
      <c r="J129" s="3" t="s">
        <v>111</v>
      </c>
      <c r="K129" s="20" t="s">
        <v>433</v>
      </c>
      <c r="L129" s="35"/>
      <c r="M129" s="20"/>
      <c r="N129" s="3" t="s">
        <v>112</v>
      </c>
      <c r="O129" s="3" t="s">
        <v>14</v>
      </c>
      <c r="P129" s="3"/>
      <c r="Q129" s="3" t="s">
        <v>55</v>
      </c>
      <c r="R129" s="3">
        <v>4</v>
      </c>
      <c r="S129" s="3" t="s">
        <v>15</v>
      </c>
      <c r="T129" s="3"/>
      <c r="U129" s="3" t="s">
        <v>552</v>
      </c>
      <c r="V129" s="3" t="s">
        <v>547</v>
      </c>
    </row>
    <row r="130" spans="2:22" s="2" customFormat="1" ht="18" customHeight="1" x14ac:dyDescent="0.25">
      <c r="B130" s="19" t="str">
        <f>"116-1"</f>
        <v>116-1</v>
      </c>
      <c r="C130" s="18">
        <v>2</v>
      </c>
      <c r="D130" s="30" t="s">
        <v>515</v>
      </c>
      <c r="E130" s="20" t="str">
        <f t="shared" si="8"/>
        <v>900000909</v>
      </c>
      <c r="F130" s="20"/>
      <c r="G130" s="20"/>
      <c r="H130" s="35" t="e">
        <v>#N/A</v>
      </c>
      <c r="I130" s="18" t="s">
        <v>11</v>
      </c>
      <c r="J130" s="18"/>
      <c r="K130" s="18" t="s">
        <v>607</v>
      </c>
      <c r="L130" s="35" t="s">
        <v>577</v>
      </c>
      <c r="M130" s="18" t="s">
        <v>578</v>
      </c>
      <c r="N130" s="18" t="s">
        <v>636</v>
      </c>
      <c r="O130" s="18"/>
      <c r="P130" s="18"/>
      <c r="Q130" s="18" t="s">
        <v>637</v>
      </c>
      <c r="R130" s="18"/>
      <c r="S130" s="18"/>
      <c r="T130" s="18"/>
      <c r="U130" s="18"/>
      <c r="V130" s="18"/>
    </row>
    <row r="131" spans="2:22" s="2" customFormat="1" ht="18" hidden="1" customHeight="1" x14ac:dyDescent="0.2">
      <c r="B131" s="13">
        <f>B129+1</f>
        <v>117</v>
      </c>
      <c r="C131" s="3" t="s">
        <v>22</v>
      </c>
      <c r="D131" s="3">
        <v>9200106</v>
      </c>
      <c r="E131" s="20" t="str">
        <f t="shared" si="8"/>
        <v>9200106</v>
      </c>
      <c r="F131" s="20"/>
      <c r="G131" s="20"/>
      <c r="H131" s="35">
        <v>9200106</v>
      </c>
      <c r="I131" s="3" t="s">
        <v>11</v>
      </c>
      <c r="J131" s="3" t="s">
        <v>113</v>
      </c>
      <c r="K131" s="20" t="s">
        <v>434</v>
      </c>
      <c r="L131" s="35"/>
      <c r="M131" s="20"/>
      <c r="N131" s="3" t="s">
        <v>114</v>
      </c>
      <c r="O131" s="3" t="s">
        <v>88</v>
      </c>
      <c r="P131" s="3"/>
      <c r="Q131" s="3" t="s">
        <v>25</v>
      </c>
      <c r="R131" s="3">
        <v>0</v>
      </c>
      <c r="S131" s="3" t="s">
        <v>15</v>
      </c>
      <c r="T131" s="3"/>
      <c r="U131" s="3" t="s">
        <v>552</v>
      </c>
      <c r="V131" s="3" t="s">
        <v>552</v>
      </c>
    </row>
    <row r="132" spans="2:22" s="2" customFormat="1" ht="18" customHeight="1" x14ac:dyDescent="0.2">
      <c r="B132" s="19">
        <f t="shared" ref="B132:B137" si="9">B131+1</f>
        <v>118</v>
      </c>
      <c r="C132" s="18" t="s">
        <v>16</v>
      </c>
      <c r="D132" s="18">
        <v>110144630</v>
      </c>
      <c r="E132" s="18" t="str">
        <f t="shared" si="8"/>
        <v>110144630</v>
      </c>
      <c r="F132" s="18"/>
      <c r="G132" s="18"/>
      <c r="H132" s="35">
        <v>110144630</v>
      </c>
      <c r="I132" s="18" t="s">
        <v>11</v>
      </c>
      <c r="J132" s="27" t="s">
        <v>98</v>
      </c>
      <c r="K132" s="27" t="s">
        <v>445</v>
      </c>
      <c r="L132" s="34" t="s">
        <v>616</v>
      </c>
      <c r="M132" s="27" t="s">
        <v>617</v>
      </c>
      <c r="N132" s="18" t="s">
        <v>148</v>
      </c>
      <c r="O132" s="18" t="s">
        <v>14</v>
      </c>
      <c r="P132" s="18"/>
      <c r="Q132" s="18" t="s">
        <v>21</v>
      </c>
      <c r="R132" s="18">
        <v>1</v>
      </c>
      <c r="S132" s="18" t="s">
        <v>38</v>
      </c>
      <c r="T132" s="18"/>
      <c r="U132" s="18" t="s">
        <v>566</v>
      </c>
      <c r="V132" s="18" t="s">
        <v>566</v>
      </c>
    </row>
    <row r="133" spans="2:22" s="2" customFormat="1" ht="18" hidden="1" customHeight="1" x14ac:dyDescent="0.2">
      <c r="B133" s="13">
        <f t="shared" si="9"/>
        <v>119</v>
      </c>
      <c r="C133" s="3" t="s">
        <v>22</v>
      </c>
      <c r="D133" s="3">
        <v>170168744</v>
      </c>
      <c r="E133" s="20" t="str">
        <f t="shared" si="8"/>
        <v>170168744</v>
      </c>
      <c r="F133" s="20"/>
      <c r="G133" s="20"/>
      <c r="H133" s="35">
        <v>170168744</v>
      </c>
      <c r="I133" s="3" t="s">
        <v>11</v>
      </c>
      <c r="J133" s="3" t="s">
        <v>60</v>
      </c>
      <c r="K133" s="20" t="s">
        <v>422</v>
      </c>
      <c r="L133" s="35"/>
      <c r="M133" s="20"/>
      <c r="N133" s="3" t="s">
        <v>149</v>
      </c>
      <c r="O133" s="3" t="s">
        <v>68</v>
      </c>
      <c r="P133" s="3"/>
      <c r="Q133" s="3" t="s">
        <v>21</v>
      </c>
      <c r="R133" s="3">
        <v>1</v>
      </c>
      <c r="S133" s="3" t="s">
        <v>15</v>
      </c>
      <c r="T133" s="3"/>
      <c r="U133" s="3" t="s">
        <v>552</v>
      </c>
      <c r="V133" s="3" t="s">
        <v>583</v>
      </c>
    </row>
    <row r="134" spans="2:22" s="2" customFormat="1" ht="18" hidden="1" customHeight="1" x14ac:dyDescent="0.2">
      <c r="B134" s="13">
        <f t="shared" si="9"/>
        <v>120</v>
      </c>
      <c r="C134" s="3" t="s">
        <v>22</v>
      </c>
      <c r="D134" s="3">
        <v>170168752</v>
      </c>
      <c r="E134" s="20" t="str">
        <f t="shared" si="8"/>
        <v>170168752</v>
      </c>
      <c r="F134" s="20"/>
      <c r="G134" s="20"/>
      <c r="H134" s="35">
        <v>170168752</v>
      </c>
      <c r="I134" s="3" t="s">
        <v>11</v>
      </c>
      <c r="J134" s="3" t="s">
        <v>29</v>
      </c>
      <c r="K134" s="20" t="s">
        <v>412</v>
      </c>
      <c r="L134" s="35"/>
      <c r="M134" s="20"/>
      <c r="N134" s="3" t="s">
        <v>150</v>
      </c>
      <c r="O134" s="3" t="s">
        <v>14</v>
      </c>
      <c r="P134" s="3"/>
      <c r="Q134" s="3" t="s">
        <v>21</v>
      </c>
      <c r="R134" s="3">
        <v>1</v>
      </c>
      <c r="S134" s="3" t="s">
        <v>15</v>
      </c>
      <c r="T134" s="3"/>
      <c r="U134" s="3" t="s">
        <v>552</v>
      </c>
      <c r="V134" s="3" t="s">
        <v>583</v>
      </c>
    </row>
    <row r="135" spans="2:22" s="2" customFormat="1" ht="18" hidden="1" customHeight="1" x14ac:dyDescent="0.2">
      <c r="B135" s="8">
        <f t="shared" si="9"/>
        <v>121</v>
      </c>
      <c r="C135" s="4" t="s">
        <v>22</v>
      </c>
      <c r="D135" s="4" t="s">
        <v>625</v>
      </c>
      <c r="E135" s="4" t="str">
        <f t="shared" si="8"/>
        <v>2001-0022-0011</v>
      </c>
      <c r="F135" s="4"/>
      <c r="G135" s="4"/>
      <c r="H135" s="35" t="s">
        <v>626</v>
      </c>
      <c r="I135" s="4" t="s">
        <v>11</v>
      </c>
      <c r="J135" s="4" t="s">
        <v>23</v>
      </c>
      <c r="K135" s="4" t="e">
        <v>#N/A</v>
      </c>
      <c r="L135" s="35"/>
      <c r="M135" s="4" t="s">
        <v>638</v>
      </c>
      <c r="N135" s="4" t="s">
        <v>140</v>
      </c>
      <c r="O135" s="4" t="s">
        <v>70</v>
      </c>
      <c r="P135" s="4"/>
      <c r="Q135" s="4" t="s">
        <v>21</v>
      </c>
      <c r="R135" s="4">
        <v>1</v>
      </c>
      <c r="S135" s="4" t="s">
        <v>15</v>
      </c>
      <c r="T135" s="4"/>
      <c r="U135" s="4" t="s">
        <v>552</v>
      </c>
      <c r="V135" s="4" t="s">
        <v>552</v>
      </c>
    </row>
    <row r="136" spans="2:22" s="2" customFormat="1" ht="18" hidden="1" customHeight="1" x14ac:dyDescent="0.2">
      <c r="B136" s="13">
        <f t="shared" si="9"/>
        <v>122</v>
      </c>
      <c r="C136" s="3" t="s">
        <v>22</v>
      </c>
      <c r="D136" s="3">
        <v>320000363</v>
      </c>
      <c r="E136" s="20" t="str">
        <f t="shared" si="8"/>
        <v>320000363</v>
      </c>
      <c r="F136" s="20"/>
      <c r="G136" s="20"/>
      <c r="H136" s="35">
        <v>320000363</v>
      </c>
      <c r="I136" s="3" t="s">
        <v>11</v>
      </c>
      <c r="J136" s="3" t="s">
        <v>29</v>
      </c>
      <c r="K136" s="20" t="s">
        <v>412</v>
      </c>
      <c r="L136" s="35"/>
      <c r="M136" s="20"/>
      <c r="N136" s="3" t="s">
        <v>103</v>
      </c>
      <c r="O136" s="3" t="s">
        <v>83</v>
      </c>
      <c r="P136" s="3"/>
      <c r="Q136" s="3" t="s">
        <v>21</v>
      </c>
      <c r="R136" s="3">
        <v>1</v>
      </c>
      <c r="S136" s="3" t="s">
        <v>15</v>
      </c>
      <c r="T136" s="3"/>
      <c r="U136" s="3" t="s">
        <v>552</v>
      </c>
      <c r="V136" s="3" t="s">
        <v>552</v>
      </c>
    </row>
    <row r="137" spans="2:22" s="2" customFormat="1" ht="18" hidden="1" customHeight="1" x14ac:dyDescent="0.2">
      <c r="B137" s="13">
        <f t="shared" si="9"/>
        <v>123</v>
      </c>
      <c r="C137" s="3" t="s">
        <v>22</v>
      </c>
      <c r="D137" s="3">
        <v>340001643</v>
      </c>
      <c r="E137" s="20" t="str">
        <f t="shared" si="8"/>
        <v>340001643</v>
      </c>
      <c r="F137" s="20"/>
      <c r="G137" s="20"/>
      <c r="H137" s="35">
        <v>340001643</v>
      </c>
      <c r="I137" s="3" t="s">
        <v>11</v>
      </c>
      <c r="J137" s="3" t="s">
        <v>23</v>
      </c>
      <c r="K137" s="20" t="s">
        <v>410</v>
      </c>
      <c r="L137" s="35"/>
      <c r="M137" s="20"/>
      <c r="N137" s="3" t="s">
        <v>143</v>
      </c>
      <c r="O137" s="3" t="s">
        <v>106</v>
      </c>
      <c r="P137" s="3"/>
      <c r="Q137" s="3" t="s">
        <v>21</v>
      </c>
      <c r="R137" s="3">
        <v>1</v>
      </c>
      <c r="S137" s="3" t="s">
        <v>15</v>
      </c>
      <c r="T137" s="3"/>
      <c r="U137" s="3" t="s">
        <v>552</v>
      </c>
      <c r="V137" s="3" t="s">
        <v>552</v>
      </c>
    </row>
    <row r="138" spans="2:22" s="2" customFormat="1" ht="18" customHeight="1" x14ac:dyDescent="0.2">
      <c r="B138" s="19" t="str">
        <f>"123-1"</f>
        <v>123-1</v>
      </c>
      <c r="C138" s="18" t="s">
        <v>22</v>
      </c>
      <c r="D138" s="18">
        <v>340001871</v>
      </c>
      <c r="E138" s="20" t="str">
        <f t="shared" si="8"/>
        <v>340001871</v>
      </c>
      <c r="F138" s="20"/>
      <c r="G138" s="20"/>
      <c r="H138" s="35">
        <v>340001871</v>
      </c>
      <c r="I138" s="18" t="s">
        <v>11</v>
      </c>
      <c r="J138" s="18" t="s">
        <v>639</v>
      </c>
      <c r="K138" s="18" t="s">
        <v>442</v>
      </c>
      <c r="L138" s="35" t="s">
        <v>610</v>
      </c>
      <c r="M138" s="18" t="s">
        <v>520</v>
      </c>
      <c r="N138" s="18" t="s">
        <v>613</v>
      </c>
      <c r="O138" s="18" t="s">
        <v>76</v>
      </c>
      <c r="P138" s="18"/>
      <c r="Q138" s="18" t="s">
        <v>18</v>
      </c>
      <c r="R138" s="18">
        <v>2</v>
      </c>
      <c r="S138" s="18" t="s">
        <v>38</v>
      </c>
      <c r="T138" s="18"/>
      <c r="U138" s="18" t="s">
        <v>548</v>
      </c>
      <c r="V138" s="18" t="s">
        <v>552</v>
      </c>
    </row>
    <row r="139" spans="2:22" s="2" customFormat="1" ht="18" hidden="1" customHeight="1" x14ac:dyDescent="0.2">
      <c r="B139" s="13">
        <f>B137+1</f>
        <v>124</v>
      </c>
      <c r="C139" s="3" t="s">
        <v>22</v>
      </c>
      <c r="D139" s="3">
        <v>340002212</v>
      </c>
      <c r="E139" s="20" t="str">
        <f t="shared" si="8"/>
        <v>340002212</v>
      </c>
      <c r="F139" s="20"/>
      <c r="G139" s="20"/>
      <c r="H139" s="35">
        <v>340002212</v>
      </c>
      <c r="I139" s="3" t="s">
        <v>11</v>
      </c>
      <c r="J139" s="3" t="s">
        <v>23</v>
      </c>
      <c r="K139" s="20" t="s">
        <v>410</v>
      </c>
      <c r="L139" s="35"/>
      <c r="M139" s="20"/>
      <c r="N139" s="3" t="s">
        <v>104</v>
      </c>
      <c r="O139" s="3" t="s">
        <v>76</v>
      </c>
      <c r="P139" s="3"/>
      <c r="Q139" s="3" t="s">
        <v>18</v>
      </c>
      <c r="R139" s="3">
        <v>2</v>
      </c>
      <c r="S139" s="3" t="s">
        <v>15</v>
      </c>
      <c r="T139" s="3"/>
      <c r="U139" s="3" t="s">
        <v>585</v>
      </c>
      <c r="V139" s="3" t="s">
        <v>568</v>
      </c>
    </row>
    <row r="140" spans="2:22" s="2" customFormat="1" ht="18" hidden="1" customHeight="1" x14ac:dyDescent="0.2">
      <c r="B140" s="28">
        <f>B139+1</f>
        <v>125</v>
      </c>
      <c r="C140" s="24" t="s">
        <v>22</v>
      </c>
      <c r="D140" s="24" t="s">
        <v>640</v>
      </c>
      <c r="E140" s="24" t="str">
        <f t="shared" si="8"/>
        <v>3400490
→ 340218502</v>
      </c>
      <c r="F140" s="24"/>
      <c r="G140" s="24"/>
      <c r="H140" s="35" t="s">
        <v>641</v>
      </c>
      <c r="I140" s="24" t="s">
        <v>11</v>
      </c>
      <c r="J140" s="24" t="s">
        <v>56</v>
      </c>
      <c r="K140" s="24" t="e">
        <v>#N/A</v>
      </c>
      <c r="L140" s="37"/>
      <c r="M140" s="24" t="s">
        <v>642</v>
      </c>
      <c r="N140" s="24" t="s">
        <v>144</v>
      </c>
      <c r="O140" s="24" t="s">
        <v>77</v>
      </c>
      <c r="P140" s="24"/>
      <c r="Q140" s="24" t="s">
        <v>21</v>
      </c>
      <c r="R140" s="24">
        <v>1</v>
      </c>
      <c r="S140" s="24" t="s">
        <v>15</v>
      </c>
      <c r="T140" s="24"/>
      <c r="U140" s="24" t="s">
        <v>552</v>
      </c>
      <c r="V140" s="24" t="s">
        <v>552</v>
      </c>
    </row>
    <row r="141" spans="2:22" s="2" customFormat="1" ht="18" customHeight="1" x14ac:dyDescent="0.2">
      <c r="B141" s="19" t="str">
        <f>"125-1"</f>
        <v>125-1</v>
      </c>
      <c r="C141" s="18">
        <v>2</v>
      </c>
      <c r="D141" s="18">
        <v>340218502</v>
      </c>
      <c r="E141" s="18"/>
      <c r="F141" s="18"/>
      <c r="G141" s="18"/>
      <c r="H141" s="35" t="e">
        <v>#N/A</v>
      </c>
      <c r="I141" s="18" t="s">
        <v>11</v>
      </c>
      <c r="J141" s="18"/>
      <c r="K141" s="18" t="s">
        <v>643</v>
      </c>
      <c r="L141" s="35" t="s">
        <v>696</v>
      </c>
      <c r="M141" s="18"/>
      <c r="N141" s="18" t="s">
        <v>644</v>
      </c>
      <c r="O141" s="18"/>
      <c r="P141" s="18"/>
      <c r="Q141" s="18" t="s">
        <v>21</v>
      </c>
      <c r="R141" s="18">
        <v>1</v>
      </c>
      <c r="S141" s="18" t="s">
        <v>15</v>
      </c>
      <c r="T141" s="18"/>
      <c r="U141" s="18"/>
      <c r="V141" s="18" t="s">
        <v>695</v>
      </c>
    </row>
    <row r="142" spans="2:22" s="2" customFormat="1" ht="18" hidden="1" customHeight="1" x14ac:dyDescent="0.2">
      <c r="B142" s="13">
        <f>B140+1</f>
        <v>126</v>
      </c>
      <c r="C142" s="3" t="s">
        <v>22</v>
      </c>
      <c r="D142" s="3">
        <v>3400775</v>
      </c>
      <c r="E142" s="20" t="str">
        <f t="shared" ref="E142:E205" si="10">TRIM(D142)</f>
        <v>3400775</v>
      </c>
      <c r="F142" s="20"/>
      <c r="G142" s="20"/>
      <c r="H142" s="35">
        <v>3400775</v>
      </c>
      <c r="I142" s="3" t="s">
        <v>11</v>
      </c>
      <c r="J142" s="3" t="s">
        <v>34</v>
      </c>
      <c r="K142" s="20" t="s">
        <v>418</v>
      </c>
      <c r="L142" s="35"/>
      <c r="M142" s="20"/>
      <c r="N142" s="3" t="s">
        <v>145</v>
      </c>
      <c r="O142" s="3" t="s">
        <v>93</v>
      </c>
      <c r="P142" s="3"/>
      <c r="Q142" s="3" t="s">
        <v>21</v>
      </c>
      <c r="R142" s="3">
        <v>1</v>
      </c>
      <c r="S142" s="3" t="s">
        <v>15</v>
      </c>
      <c r="T142" s="3"/>
      <c r="U142" s="3" t="s">
        <v>571</v>
      </c>
      <c r="V142" s="3" t="s">
        <v>552</v>
      </c>
    </row>
    <row r="143" spans="2:22" s="2" customFormat="1" ht="18" hidden="1" customHeight="1" x14ac:dyDescent="0.2">
      <c r="B143" s="13">
        <f>B142+1</f>
        <v>127</v>
      </c>
      <c r="C143" s="3" t="s">
        <v>22</v>
      </c>
      <c r="D143" s="3">
        <v>3402049</v>
      </c>
      <c r="E143" s="20" t="str">
        <f t="shared" si="10"/>
        <v>3402049</v>
      </c>
      <c r="F143" s="20"/>
      <c r="G143" s="20"/>
      <c r="H143" s="35">
        <v>3402049</v>
      </c>
      <c r="I143" s="3" t="s">
        <v>11</v>
      </c>
      <c r="J143" s="3" t="s">
        <v>60</v>
      </c>
      <c r="K143" s="20" t="e">
        <v>#N/A</v>
      </c>
      <c r="L143" s="35"/>
      <c r="M143" s="20"/>
      <c r="N143" s="3" t="s">
        <v>105</v>
      </c>
      <c r="O143" s="3" t="s">
        <v>96</v>
      </c>
      <c r="P143" s="3"/>
      <c r="Q143" s="3" t="s">
        <v>21</v>
      </c>
      <c r="R143" s="3">
        <v>1</v>
      </c>
      <c r="S143" s="3" t="s">
        <v>15</v>
      </c>
      <c r="T143" s="3"/>
      <c r="U143" s="3" t="s">
        <v>571</v>
      </c>
      <c r="V143" s="3" t="s">
        <v>548</v>
      </c>
    </row>
    <row r="144" spans="2:22" s="2" customFormat="1" ht="18" hidden="1" customHeight="1" x14ac:dyDescent="0.2">
      <c r="B144" s="13">
        <f>B143+1</f>
        <v>128</v>
      </c>
      <c r="C144" s="3" t="s">
        <v>22</v>
      </c>
      <c r="D144" s="3">
        <v>350001184</v>
      </c>
      <c r="E144" s="20" t="str">
        <f t="shared" si="10"/>
        <v>350001184</v>
      </c>
      <c r="F144" s="20"/>
      <c r="G144" s="20"/>
      <c r="H144" s="35">
        <v>350001184</v>
      </c>
      <c r="I144" s="3" t="s">
        <v>11</v>
      </c>
      <c r="J144" s="3" t="s">
        <v>60</v>
      </c>
      <c r="K144" s="20" t="s">
        <v>422</v>
      </c>
      <c r="L144" s="35"/>
      <c r="M144" s="20"/>
      <c r="N144" s="3" t="s">
        <v>108</v>
      </c>
      <c r="O144" s="3" t="s">
        <v>72</v>
      </c>
      <c r="P144" s="3"/>
      <c r="Q144" s="3" t="s">
        <v>18</v>
      </c>
      <c r="R144" s="3">
        <v>2</v>
      </c>
      <c r="S144" s="3" t="s">
        <v>15</v>
      </c>
      <c r="T144" s="3"/>
      <c r="U144" s="3" t="s">
        <v>568</v>
      </c>
      <c r="V144" s="3" t="s">
        <v>571</v>
      </c>
    </row>
    <row r="145" spans="2:22" s="2" customFormat="1" ht="18" hidden="1" customHeight="1" x14ac:dyDescent="0.2">
      <c r="B145" s="13">
        <f>B144+1</f>
        <v>129</v>
      </c>
      <c r="C145" s="3" t="s">
        <v>22</v>
      </c>
      <c r="D145" s="3">
        <v>430000724</v>
      </c>
      <c r="E145" s="20" t="str">
        <f t="shared" si="10"/>
        <v>430000724</v>
      </c>
      <c r="F145" s="20"/>
      <c r="G145" s="20"/>
      <c r="H145" s="35">
        <v>430000724</v>
      </c>
      <c r="I145" s="3" t="s">
        <v>11</v>
      </c>
      <c r="J145" s="3" t="s">
        <v>109</v>
      </c>
      <c r="K145" s="20" t="s">
        <v>432</v>
      </c>
      <c r="L145" s="35"/>
      <c r="M145" s="20"/>
      <c r="N145" s="3" t="s">
        <v>110</v>
      </c>
      <c r="O145" s="3" t="s">
        <v>14</v>
      </c>
      <c r="P145" s="3"/>
      <c r="Q145" s="3" t="s">
        <v>18</v>
      </c>
      <c r="R145" s="3">
        <v>2</v>
      </c>
      <c r="S145" s="3" t="s">
        <v>15</v>
      </c>
      <c r="T145" s="3"/>
      <c r="U145" s="3" t="s">
        <v>585</v>
      </c>
      <c r="V145" s="3" t="s">
        <v>568</v>
      </c>
    </row>
    <row r="146" spans="2:22" s="2" customFormat="1" ht="18" hidden="1" customHeight="1" x14ac:dyDescent="0.2">
      <c r="B146" s="13">
        <f>B145+1</f>
        <v>130</v>
      </c>
      <c r="C146" s="3" t="s">
        <v>22</v>
      </c>
      <c r="D146" s="3" t="s">
        <v>645</v>
      </c>
      <c r="E146" s="20" t="str">
        <f t="shared" si="10"/>
        <v>44S0093</v>
      </c>
      <c r="F146" s="20"/>
      <c r="G146" s="20"/>
      <c r="H146" s="35" t="s">
        <v>587</v>
      </c>
      <c r="I146" s="3" t="s">
        <v>11</v>
      </c>
      <c r="J146" s="3" t="s">
        <v>111</v>
      </c>
      <c r="K146" s="20" t="s">
        <v>433</v>
      </c>
      <c r="L146" s="35"/>
      <c r="M146" s="20"/>
      <c r="N146" s="3" t="s">
        <v>112</v>
      </c>
      <c r="O146" s="3" t="s">
        <v>14</v>
      </c>
      <c r="P146" s="3"/>
      <c r="Q146" s="3" t="s">
        <v>55</v>
      </c>
      <c r="R146" s="3">
        <v>4</v>
      </c>
      <c r="S146" s="3" t="s">
        <v>15</v>
      </c>
      <c r="T146" s="3"/>
      <c r="U146" s="3" t="s">
        <v>571</v>
      </c>
      <c r="V146" s="3" t="s">
        <v>552</v>
      </c>
    </row>
    <row r="147" spans="2:22" s="2" customFormat="1" ht="18" customHeight="1" x14ac:dyDescent="0.25">
      <c r="B147" s="19" t="str">
        <f>"116-1"</f>
        <v>116-1</v>
      </c>
      <c r="C147" s="18">
        <v>2</v>
      </c>
      <c r="D147" s="30" t="s">
        <v>515</v>
      </c>
      <c r="E147" s="20" t="str">
        <f t="shared" si="10"/>
        <v>900000909</v>
      </c>
      <c r="F147" s="20"/>
      <c r="G147" s="20"/>
      <c r="H147" s="35" t="e">
        <v>#N/A</v>
      </c>
      <c r="I147" s="18" t="s">
        <v>11</v>
      </c>
      <c r="J147" s="18"/>
      <c r="K147" s="18" t="s">
        <v>646</v>
      </c>
      <c r="L147" s="35" t="s">
        <v>647</v>
      </c>
      <c r="M147" s="18" t="s">
        <v>648</v>
      </c>
      <c r="N147" s="18" t="s">
        <v>649</v>
      </c>
      <c r="O147" s="18"/>
      <c r="P147" s="18"/>
      <c r="Q147" s="18" t="s">
        <v>623</v>
      </c>
      <c r="R147" s="18"/>
      <c r="S147" s="18"/>
      <c r="T147" s="18"/>
      <c r="U147" s="18"/>
      <c r="V147" s="18"/>
    </row>
    <row r="148" spans="2:22" s="2" customFormat="1" ht="18" hidden="1" customHeight="1" x14ac:dyDescent="0.2">
      <c r="B148" s="13">
        <f>B146+1</f>
        <v>131</v>
      </c>
      <c r="C148" s="3" t="s">
        <v>22</v>
      </c>
      <c r="D148" s="3">
        <v>9200106</v>
      </c>
      <c r="E148" s="20" t="str">
        <f t="shared" si="10"/>
        <v>9200106</v>
      </c>
      <c r="F148" s="20"/>
      <c r="G148" s="20"/>
      <c r="H148" s="35">
        <v>9200106</v>
      </c>
      <c r="I148" s="3" t="s">
        <v>11</v>
      </c>
      <c r="J148" s="3" t="s">
        <v>113</v>
      </c>
      <c r="K148" s="20" t="s">
        <v>434</v>
      </c>
      <c r="L148" s="35"/>
      <c r="M148" s="20"/>
      <c r="N148" s="3" t="s">
        <v>114</v>
      </c>
      <c r="O148" s="3" t="s">
        <v>151</v>
      </c>
      <c r="P148" s="3"/>
      <c r="Q148" s="3" t="s">
        <v>25</v>
      </c>
      <c r="R148" s="3">
        <v>0</v>
      </c>
      <c r="S148" s="3" t="s">
        <v>15</v>
      </c>
      <c r="T148" s="3"/>
      <c r="U148" s="3" t="s">
        <v>571</v>
      </c>
      <c r="V148" s="3" t="s">
        <v>552</v>
      </c>
    </row>
    <row r="149" spans="2:22" s="2" customFormat="1" ht="18" hidden="1" customHeight="1" x14ac:dyDescent="0.2">
      <c r="B149" s="8">
        <f t="shared" ref="B149:B212" si="11">B148+1</f>
        <v>132</v>
      </c>
      <c r="C149" s="4" t="s">
        <v>16</v>
      </c>
      <c r="D149" s="4">
        <v>120006025</v>
      </c>
      <c r="E149" s="20" t="str">
        <f t="shared" si="10"/>
        <v>120006025</v>
      </c>
      <c r="F149" s="20"/>
      <c r="G149" s="20"/>
      <c r="H149" s="35">
        <v>120006025</v>
      </c>
      <c r="I149" s="4" t="s">
        <v>11</v>
      </c>
      <c r="J149" s="4" t="s">
        <v>29</v>
      </c>
      <c r="K149" s="4" t="s">
        <v>412</v>
      </c>
      <c r="L149" s="35"/>
      <c r="M149" s="4"/>
      <c r="N149" s="4" t="s">
        <v>152</v>
      </c>
      <c r="O149" s="4" t="s">
        <v>14</v>
      </c>
      <c r="P149" s="4"/>
      <c r="Q149" s="4" t="s">
        <v>21</v>
      </c>
      <c r="R149" s="4">
        <v>1</v>
      </c>
      <c r="S149" s="4" t="s">
        <v>15</v>
      </c>
      <c r="T149" s="4"/>
      <c r="U149" s="4" t="s">
        <v>352</v>
      </c>
      <c r="V149" s="4" t="s">
        <v>352</v>
      </c>
    </row>
    <row r="150" spans="2:22" s="2" customFormat="1" ht="18" hidden="1" customHeight="1" x14ac:dyDescent="0.2">
      <c r="B150" s="13">
        <f t="shared" si="11"/>
        <v>133</v>
      </c>
      <c r="C150" s="3" t="s">
        <v>22</v>
      </c>
      <c r="D150" s="3">
        <v>230000654</v>
      </c>
      <c r="E150" s="20" t="str">
        <f t="shared" si="10"/>
        <v>230000654</v>
      </c>
      <c r="F150" s="20"/>
      <c r="G150" s="20"/>
      <c r="H150" s="35">
        <v>230000654</v>
      </c>
      <c r="I150" s="3" t="s">
        <v>11</v>
      </c>
      <c r="J150" s="3" t="s">
        <v>23</v>
      </c>
      <c r="K150" s="20" t="s">
        <v>410</v>
      </c>
      <c r="L150" s="35"/>
      <c r="M150" s="20"/>
      <c r="N150" s="3" t="s">
        <v>153</v>
      </c>
      <c r="O150" s="3" t="s">
        <v>127</v>
      </c>
      <c r="P150" s="3"/>
      <c r="Q150" s="3" t="s">
        <v>21</v>
      </c>
      <c r="R150" s="3">
        <v>1</v>
      </c>
      <c r="S150" s="3" t="s">
        <v>15</v>
      </c>
      <c r="T150" s="3"/>
      <c r="U150" s="3" t="s">
        <v>568</v>
      </c>
      <c r="V150" s="3" t="s">
        <v>568</v>
      </c>
    </row>
    <row r="151" spans="2:22" s="2" customFormat="1" ht="18" hidden="1" customHeight="1" x14ac:dyDescent="0.2">
      <c r="B151" s="13">
        <f t="shared" si="11"/>
        <v>134</v>
      </c>
      <c r="C151" s="3" t="s">
        <v>22</v>
      </c>
      <c r="D151" s="3">
        <v>530000551</v>
      </c>
      <c r="E151" s="20" t="str">
        <f t="shared" si="10"/>
        <v>530000551</v>
      </c>
      <c r="F151" s="20"/>
      <c r="G151" s="20"/>
      <c r="H151" s="35">
        <v>530000551</v>
      </c>
      <c r="I151" s="3" t="s">
        <v>11</v>
      </c>
      <c r="J151" s="3" t="s">
        <v>23</v>
      </c>
      <c r="K151" s="20" t="s">
        <v>410</v>
      </c>
      <c r="L151" s="35"/>
      <c r="M151" s="20"/>
      <c r="N151" s="3" t="s">
        <v>154</v>
      </c>
      <c r="O151" s="3" t="s">
        <v>68</v>
      </c>
      <c r="P151" s="3"/>
      <c r="Q151" s="3" t="s">
        <v>21</v>
      </c>
      <c r="R151" s="3">
        <v>1</v>
      </c>
      <c r="S151" s="3" t="s">
        <v>15</v>
      </c>
      <c r="T151" s="3"/>
      <c r="U151" s="3" t="s">
        <v>548</v>
      </c>
      <c r="V151" s="3" t="s">
        <v>548</v>
      </c>
    </row>
    <row r="152" spans="2:22" s="2" customFormat="1" ht="18" hidden="1" customHeight="1" x14ac:dyDescent="0.2">
      <c r="B152" s="8">
        <f t="shared" si="11"/>
        <v>135</v>
      </c>
      <c r="C152" s="4" t="s">
        <v>22</v>
      </c>
      <c r="D152" s="4">
        <v>8600780</v>
      </c>
      <c r="E152" s="20" t="str">
        <f t="shared" si="10"/>
        <v>8600780</v>
      </c>
      <c r="F152" s="20"/>
      <c r="G152" s="20"/>
      <c r="H152" s="35">
        <v>8600780</v>
      </c>
      <c r="I152" s="4" t="s">
        <v>11</v>
      </c>
      <c r="J152" s="4" t="s">
        <v>155</v>
      </c>
      <c r="K152" s="4" t="s">
        <v>446</v>
      </c>
      <c r="L152" s="35"/>
      <c r="M152" s="4"/>
      <c r="N152" s="4" t="s">
        <v>156</v>
      </c>
      <c r="O152" s="4" t="s">
        <v>70</v>
      </c>
      <c r="P152" s="4"/>
      <c r="Q152" s="4" t="s">
        <v>25</v>
      </c>
      <c r="R152" s="4">
        <v>0</v>
      </c>
      <c r="S152" s="4" t="s">
        <v>38</v>
      </c>
      <c r="T152" s="4"/>
      <c r="U152" s="4" t="s">
        <v>352</v>
      </c>
      <c r="V152" s="4" t="s">
        <v>352</v>
      </c>
    </row>
    <row r="153" spans="2:22" s="2" customFormat="1" ht="18" hidden="1" customHeight="1" x14ac:dyDescent="0.2">
      <c r="B153" s="8">
        <f t="shared" si="11"/>
        <v>136</v>
      </c>
      <c r="C153" s="4" t="s">
        <v>16</v>
      </c>
      <c r="D153" s="4">
        <v>120006197</v>
      </c>
      <c r="E153" s="20" t="str">
        <f t="shared" si="10"/>
        <v>120006197</v>
      </c>
      <c r="F153" s="20"/>
      <c r="G153" s="20"/>
      <c r="H153" s="35">
        <v>120006197</v>
      </c>
      <c r="I153" s="4" t="s">
        <v>11</v>
      </c>
      <c r="J153" s="4" t="s">
        <v>60</v>
      </c>
      <c r="K153" s="4" t="s">
        <v>422</v>
      </c>
      <c r="L153" s="35"/>
      <c r="M153" s="4"/>
      <c r="N153" s="4" t="s">
        <v>157</v>
      </c>
      <c r="O153" s="4" t="s">
        <v>14</v>
      </c>
      <c r="P153" s="4"/>
      <c r="Q153" s="4" t="s">
        <v>21</v>
      </c>
      <c r="R153" s="4">
        <v>1</v>
      </c>
      <c r="S153" s="4" t="s">
        <v>15</v>
      </c>
      <c r="T153" s="4"/>
      <c r="U153" s="4" t="s">
        <v>352</v>
      </c>
      <c r="V153" s="4" t="s">
        <v>352</v>
      </c>
    </row>
    <row r="154" spans="2:22" s="2" customFormat="1" ht="18" hidden="1" customHeight="1" x14ac:dyDescent="0.2">
      <c r="B154" s="13">
        <f t="shared" si="11"/>
        <v>137</v>
      </c>
      <c r="C154" s="3" t="s">
        <v>22</v>
      </c>
      <c r="D154" s="3">
        <v>230000667</v>
      </c>
      <c r="E154" s="20" t="str">
        <f t="shared" si="10"/>
        <v>230000667</v>
      </c>
      <c r="F154" s="20"/>
      <c r="G154" s="20"/>
      <c r="H154" s="35">
        <v>230000667</v>
      </c>
      <c r="I154" s="3" t="s">
        <v>11</v>
      </c>
      <c r="J154" s="3" t="s">
        <v>23</v>
      </c>
      <c r="K154" s="20" t="s">
        <v>410</v>
      </c>
      <c r="L154" s="35"/>
      <c r="M154" s="20"/>
      <c r="N154" s="3" t="s">
        <v>158</v>
      </c>
      <c r="O154" s="3" t="s">
        <v>127</v>
      </c>
      <c r="P154" s="3"/>
      <c r="Q154" s="3" t="s">
        <v>21</v>
      </c>
      <c r="R154" s="3">
        <v>1</v>
      </c>
      <c r="S154" s="3" t="s">
        <v>15</v>
      </c>
      <c r="T154" s="3"/>
      <c r="U154" s="3" t="s">
        <v>551</v>
      </c>
      <c r="V154" s="3" t="s">
        <v>571</v>
      </c>
    </row>
    <row r="155" spans="2:22" s="2" customFormat="1" ht="18" hidden="1" customHeight="1" x14ac:dyDescent="0.2">
      <c r="B155" s="13">
        <f t="shared" si="11"/>
        <v>138</v>
      </c>
      <c r="C155" s="3" t="s">
        <v>36</v>
      </c>
      <c r="D155" s="3" t="s">
        <v>650</v>
      </c>
      <c r="E155" s="20" t="str">
        <f t="shared" si="10"/>
        <v>230000667VM</v>
      </c>
      <c r="F155" s="20"/>
      <c r="G155" s="20"/>
      <c r="H155" s="35" t="s">
        <v>651</v>
      </c>
      <c r="I155" s="3" t="s">
        <v>11</v>
      </c>
      <c r="J155" s="3" t="s">
        <v>159</v>
      </c>
      <c r="K155" s="20" t="s">
        <v>447</v>
      </c>
      <c r="L155" s="35"/>
      <c r="M155" s="20"/>
      <c r="N155" s="3" t="s">
        <v>158</v>
      </c>
      <c r="O155" s="3" t="s">
        <v>127</v>
      </c>
      <c r="P155" s="3"/>
      <c r="Q155" s="3" t="s">
        <v>25</v>
      </c>
      <c r="R155" s="3">
        <v>0</v>
      </c>
      <c r="S155" s="3" t="s">
        <v>15</v>
      </c>
      <c r="T155" s="3"/>
      <c r="U155" s="3" t="s">
        <v>551</v>
      </c>
      <c r="V155" s="3" t="s">
        <v>551</v>
      </c>
    </row>
    <row r="156" spans="2:22" s="2" customFormat="1" ht="18" hidden="1" customHeight="1" x14ac:dyDescent="0.2">
      <c r="B156" s="8">
        <f t="shared" si="11"/>
        <v>139</v>
      </c>
      <c r="C156" s="4" t="s">
        <v>22</v>
      </c>
      <c r="D156" s="4">
        <v>8600780</v>
      </c>
      <c r="E156" s="20" t="str">
        <f t="shared" si="10"/>
        <v>8600780</v>
      </c>
      <c r="F156" s="20"/>
      <c r="G156" s="20"/>
      <c r="H156" s="35">
        <v>8600780</v>
      </c>
      <c r="I156" s="4" t="s">
        <v>11</v>
      </c>
      <c r="J156" s="4" t="s">
        <v>155</v>
      </c>
      <c r="K156" s="4" t="s">
        <v>446</v>
      </c>
      <c r="L156" s="35"/>
      <c r="M156" s="4"/>
      <c r="N156" s="4" t="s">
        <v>156</v>
      </c>
      <c r="O156" s="4" t="s">
        <v>68</v>
      </c>
      <c r="P156" s="4"/>
      <c r="Q156" s="4" t="s">
        <v>25</v>
      </c>
      <c r="R156" s="4">
        <v>0</v>
      </c>
      <c r="S156" s="4" t="s">
        <v>38</v>
      </c>
      <c r="T156" s="4"/>
      <c r="U156" s="4" t="s">
        <v>352</v>
      </c>
      <c r="V156" s="4" t="s">
        <v>352</v>
      </c>
    </row>
    <row r="157" spans="2:22" s="2" customFormat="1" ht="18" hidden="1" customHeight="1" x14ac:dyDescent="0.2">
      <c r="B157" s="13">
        <f t="shared" si="11"/>
        <v>140</v>
      </c>
      <c r="C157" s="3" t="s">
        <v>16</v>
      </c>
      <c r="D157" s="3">
        <v>160025507</v>
      </c>
      <c r="E157" s="20" t="str">
        <f t="shared" si="10"/>
        <v>160025507</v>
      </c>
      <c r="F157" s="20"/>
      <c r="G157" s="20"/>
      <c r="H157" s="35">
        <v>160025507</v>
      </c>
      <c r="I157" s="3" t="s">
        <v>11</v>
      </c>
      <c r="J157" s="3" t="s">
        <v>23</v>
      </c>
      <c r="K157" s="20" t="s">
        <v>410</v>
      </c>
      <c r="L157" s="35"/>
      <c r="M157" s="20"/>
      <c r="N157" s="3" t="s">
        <v>160</v>
      </c>
      <c r="O157" s="3" t="s">
        <v>14</v>
      </c>
      <c r="P157" s="3"/>
      <c r="Q157" s="3" t="s">
        <v>21</v>
      </c>
      <c r="R157" s="3">
        <v>1</v>
      </c>
      <c r="S157" s="3" t="s">
        <v>15</v>
      </c>
      <c r="T157" s="3"/>
      <c r="U157" s="3" t="s">
        <v>549</v>
      </c>
      <c r="V157" s="3" t="s">
        <v>652</v>
      </c>
    </row>
    <row r="158" spans="2:22" s="2" customFormat="1" ht="18" hidden="1" customHeight="1" x14ac:dyDescent="0.2">
      <c r="B158" s="8">
        <f t="shared" si="11"/>
        <v>141</v>
      </c>
      <c r="C158" s="4" t="s">
        <v>22</v>
      </c>
      <c r="D158" s="4">
        <v>5000472</v>
      </c>
      <c r="E158" s="20" t="str">
        <f t="shared" si="10"/>
        <v>5000472</v>
      </c>
      <c r="F158" s="20"/>
      <c r="G158" s="20"/>
      <c r="H158" s="35">
        <v>5000472</v>
      </c>
      <c r="I158" s="4" t="s">
        <v>11</v>
      </c>
      <c r="J158" s="4" t="s">
        <v>161</v>
      </c>
      <c r="K158" s="4" t="s">
        <v>448</v>
      </c>
      <c r="L158" s="35"/>
      <c r="M158" s="4"/>
      <c r="N158" s="4" t="s">
        <v>162</v>
      </c>
      <c r="O158" s="4" t="s">
        <v>127</v>
      </c>
      <c r="P158" s="4"/>
      <c r="Q158" s="4" t="s">
        <v>25</v>
      </c>
      <c r="R158" s="4">
        <v>0</v>
      </c>
      <c r="S158" s="4" t="s">
        <v>15</v>
      </c>
      <c r="T158" s="4"/>
      <c r="U158" s="4" t="s">
        <v>554</v>
      </c>
      <c r="V158" s="4" t="s">
        <v>653</v>
      </c>
    </row>
    <row r="159" spans="2:22" s="2" customFormat="1" ht="18" hidden="1" customHeight="1" x14ac:dyDescent="0.2">
      <c r="B159" s="8">
        <f t="shared" si="11"/>
        <v>142</v>
      </c>
      <c r="C159" s="4" t="s">
        <v>22</v>
      </c>
      <c r="D159" s="4">
        <v>510002007</v>
      </c>
      <c r="E159" s="20" t="str">
        <f t="shared" si="10"/>
        <v>510002007</v>
      </c>
      <c r="F159" s="20"/>
      <c r="G159" s="20"/>
      <c r="H159" s="35">
        <v>510002007</v>
      </c>
      <c r="I159" s="4" t="s">
        <v>11</v>
      </c>
      <c r="J159" s="4" t="s">
        <v>34</v>
      </c>
      <c r="K159" s="4" t="s">
        <v>418</v>
      </c>
      <c r="L159" s="35"/>
      <c r="M159" s="4"/>
      <c r="N159" s="4" t="s">
        <v>163</v>
      </c>
      <c r="O159" s="4" t="s">
        <v>68</v>
      </c>
      <c r="P159" s="4"/>
      <c r="Q159" s="4" t="s">
        <v>21</v>
      </c>
      <c r="R159" s="4">
        <v>1</v>
      </c>
      <c r="S159" s="4" t="s">
        <v>15</v>
      </c>
      <c r="T159" s="4"/>
      <c r="U159" s="4" t="s">
        <v>654</v>
      </c>
      <c r="V159" s="4" t="s">
        <v>597</v>
      </c>
    </row>
    <row r="160" spans="2:22" s="2" customFormat="1" ht="18" hidden="1" customHeight="1" x14ac:dyDescent="0.2">
      <c r="B160" s="8">
        <f t="shared" si="11"/>
        <v>143</v>
      </c>
      <c r="C160" s="4" t="s">
        <v>22</v>
      </c>
      <c r="D160" s="4">
        <v>510002688</v>
      </c>
      <c r="E160" s="20" t="str">
        <f t="shared" si="10"/>
        <v>510002688</v>
      </c>
      <c r="F160" s="20"/>
      <c r="G160" s="20"/>
      <c r="H160" s="35">
        <v>510002688</v>
      </c>
      <c r="I160" s="4" t="s">
        <v>11</v>
      </c>
      <c r="J160" s="4" t="s">
        <v>23</v>
      </c>
      <c r="K160" s="4" t="s">
        <v>410</v>
      </c>
      <c r="L160" s="35"/>
      <c r="M160" s="4"/>
      <c r="N160" s="4" t="s">
        <v>164</v>
      </c>
      <c r="O160" s="4" t="s">
        <v>70</v>
      </c>
      <c r="P160" s="4"/>
      <c r="Q160" s="4" t="s">
        <v>21</v>
      </c>
      <c r="R160" s="4">
        <v>1</v>
      </c>
      <c r="S160" s="4" t="s">
        <v>15</v>
      </c>
      <c r="T160" s="4"/>
      <c r="U160" s="4" t="s">
        <v>596</v>
      </c>
      <c r="V160" s="4" t="s">
        <v>597</v>
      </c>
    </row>
    <row r="161" spans="2:22" s="2" customFormat="1" ht="18" hidden="1" customHeight="1" x14ac:dyDescent="0.2">
      <c r="B161" s="8">
        <f t="shared" si="11"/>
        <v>144</v>
      </c>
      <c r="C161" s="4" t="s">
        <v>22</v>
      </c>
      <c r="D161" s="4">
        <v>510002690</v>
      </c>
      <c r="E161" s="20" t="str">
        <f t="shared" si="10"/>
        <v>510002690</v>
      </c>
      <c r="F161" s="20"/>
      <c r="G161" s="20"/>
      <c r="H161" s="35">
        <v>510002690</v>
      </c>
      <c r="I161" s="4" t="s">
        <v>11</v>
      </c>
      <c r="J161" s="4" t="s">
        <v>34</v>
      </c>
      <c r="K161" s="4" t="s">
        <v>418</v>
      </c>
      <c r="L161" s="35"/>
      <c r="M161" s="4"/>
      <c r="N161" s="4" t="s">
        <v>165</v>
      </c>
      <c r="O161" s="4" t="s">
        <v>83</v>
      </c>
      <c r="P161" s="4"/>
      <c r="Q161" s="4" t="s">
        <v>21</v>
      </c>
      <c r="R161" s="4">
        <v>1</v>
      </c>
      <c r="S161" s="4" t="s">
        <v>15</v>
      </c>
      <c r="T161" s="4"/>
      <c r="U161" s="4" t="s">
        <v>554</v>
      </c>
      <c r="V161" s="4" t="s">
        <v>597</v>
      </c>
    </row>
    <row r="162" spans="2:22" s="2" customFormat="1" ht="18" hidden="1" customHeight="1" x14ac:dyDescent="0.2">
      <c r="B162" s="8">
        <f t="shared" si="11"/>
        <v>145</v>
      </c>
      <c r="C162" s="4" t="s">
        <v>22</v>
      </c>
      <c r="D162" s="4">
        <v>570000905</v>
      </c>
      <c r="E162" s="20" t="str">
        <f t="shared" si="10"/>
        <v>570000905</v>
      </c>
      <c r="F162" s="20"/>
      <c r="G162" s="20"/>
      <c r="H162" s="35">
        <v>570000905</v>
      </c>
      <c r="I162" s="4" t="s">
        <v>11</v>
      </c>
      <c r="J162" s="4" t="s">
        <v>23</v>
      </c>
      <c r="K162" s="4" t="s">
        <v>410</v>
      </c>
      <c r="L162" s="35"/>
      <c r="M162" s="4"/>
      <c r="N162" s="4" t="s">
        <v>166</v>
      </c>
      <c r="O162" s="4" t="s">
        <v>106</v>
      </c>
      <c r="P162" s="4"/>
      <c r="Q162" s="4" t="s">
        <v>21</v>
      </c>
      <c r="R162" s="4">
        <v>1</v>
      </c>
      <c r="S162" s="4" t="s">
        <v>15</v>
      </c>
      <c r="T162" s="4"/>
      <c r="U162" s="4" t="s">
        <v>554</v>
      </c>
      <c r="V162" s="4" t="s">
        <v>597</v>
      </c>
    </row>
    <row r="163" spans="2:22" s="2" customFormat="1" ht="18" hidden="1" customHeight="1" x14ac:dyDescent="0.2">
      <c r="B163" s="8">
        <f t="shared" si="11"/>
        <v>146</v>
      </c>
      <c r="C163" s="4" t="s">
        <v>22</v>
      </c>
      <c r="D163" s="4">
        <v>7500004</v>
      </c>
      <c r="E163" s="20" t="str">
        <f t="shared" si="10"/>
        <v>7500004</v>
      </c>
      <c r="F163" s="20"/>
      <c r="G163" s="20"/>
      <c r="H163" s="35">
        <v>7500004</v>
      </c>
      <c r="I163" s="4" t="s">
        <v>11</v>
      </c>
      <c r="J163" s="4" t="s">
        <v>167</v>
      </c>
      <c r="K163" s="4" t="s">
        <v>449</v>
      </c>
      <c r="L163" s="35"/>
      <c r="M163" s="4"/>
      <c r="N163" s="4" t="s">
        <v>168</v>
      </c>
      <c r="O163" s="4" t="s">
        <v>76</v>
      </c>
      <c r="P163" s="4"/>
      <c r="Q163" s="4" t="s">
        <v>169</v>
      </c>
      <c r="R163" s="4">
        <v>0.5</v>
      </c>
      <c r="S163" s="4" t="s">
        <v>15</v>
      </c>
      <c r="T163" s="4"/>
      <c r="U163" s="4" t="s">
        <v>554</v>
      </c>
      <c r="V163" s="4" t="s">
        <v>597</v>
      </c>
    </row>
    <row r="164" spans="2:22" s="2" customFormat="1" ht="18" hidden="1" customHeight="1" x14ac:dyDescent="0.2">
      <c r="B164" s="8">
        <f t="shared" si="11"/>
        <v>147</v>
      </c>
      <c r="C164" s="4" t="s">
        <v>22</v>
      </c>
      <c r="D164" s="4">
        <v>770000693</v>
      </c>
      <c r="E164" s="20" t="str">
        <f t="shared" si="10"/>
        <v>770000693</v>
      </c>
      <c r="F164" s="20"/>
      <c r="G164" s="20"/>
      <c r="H164" s="35">
        <v>770000693</v>
      </c>
      <c r="I164" s="4" t="s">
        <v>11</v>
      </c>
      <c r="J164" s="4" t="s">
        <v>159</v>
      </c>
      <c r="K164" s="4" t="s">
        <v>447</v>
      </c>
      <c r="L164" s="35"/>
      <c r="M164" s="4"/>
      <c r="N164" s="4" t="s">
        <v>170</v>
      </c>
      <c r="O164" s="4" t="s">
        <v>77</v>
      </c>
      <c r="P164" s="4"/>
      <c r="Q164" s="4" t="s">
        <v>171</v>
      </c>
      <c r="R164" s="4">
        <v>3.2</v>
      </c>
      <c r="S164" s="4" t="s">
        <v>15</v>
      </c>
      <c r="T164" s="4"/>
      <c r="U164" s="4" t="s">
        <v>554</v>
      </c>
      <c r="V164" s="4" t="s">
        <v>597</v>
      </c>
    </row>
    <row r="165" spans="2:22" s="2" customFormat="1" ht="18" hidden="1" customHeight="1" x14ac:dyDescent="0.2">
      <c r="B165" s="8">
        <f t="shared" si="11"/>
        <v>148</v>
      </c>
      <c r="C165" s="4" t="s">
        <v>22</v>
      </c>
      <c r="D165" s="4">
        <v>8606757</v>
      </c>
      <c r="E165" s="20" t="str">
        <f t="shared" si="10"/>
        <v>8606757</v>
      </c>
      <c r="F165" s="20"/>
      <c r="G165" s="20"/>
      <c r="H165" s="35">
        <v>8606757</v>
      </c>
      <c r="I165" s="4" t="s">
        <v>11</v>
      </c>
      <c r="J165" s="4" t="s">
        <v>172</v>
      </c>
      <c r="K165" s="4" t="s">
        <v>450</v>
      </c>
      <c r="L165" s="35"/>
      <c r="M165" s="4"/>
      <c r="N165" s="4" t="s">
        <v>173</v>
      </c>
      <c r="O165" s="4" t="s">
        <v>93</v>
      </c>
      <c r="P165" s="4"/>
      <c r="Q165" s="4" t="s">
        <v>25</v>
      </c>
      <c r="R165" s="4">
        <v>0</v>
      </c>
      <c r="S165" s="4" t="s">
        <v>38</v>
      </c>
      <c r="T165" s="4"/>
      <c r="U165" s="4" t="s">
        <v>654</v>
      </c>
      <c r="V165" s="4" t="s">
        <v>594</v>
      </c>
    </row>
    <row r="166" spans="2:22" s="2" customFormat="1" ht="18" hidden="1" customHeight="1" x14ac:dyDescent="0.2">
      <c r="B166" s="8">
        <f t="shared" si="11"/>
        <v>149</v>
      </c>
      <c r="C166" s="4" t="s">
        <v>22</v>
      </c>
      <c r="D166" s="4">
        <v>880000356</v>
      </c>
      <c r="E166" s="20" t="str">
        <f t="shared" si="10"/>
        <v>880000356</v>
      </c>
      <c r="F166" s="20"/>
      <c r="G166" s="20"/>
      <c r="H166" s="35">
        <v>880000356</v>
      </c>
      <c r="I166" s="4" t="s">
        <v>11</v>
      </c>
      <c r="J166" s="4" t="s">
        <v>174</v>
      </c>
      <c r="K166" s="4" t="s">
        <v>451</v>
      </c>
      <c r="L166" s="35"/>
      <c r="M166" s="4"/>
      <c r="N166" s="4" t="s">
        <v>175</v>
      </c>
      <c r="O166" s="4" t="s">
        <v>96</v>
      </c>
      <c r="P166" s="4"/>
      <c r="Q166" s="4" t="s">
        <v>25</v>
      </c>
      <c r="R166" s="4">
        <v>0</v>
      </c>
      <c r="S166" s="4" t="s">
        <v>15</v>
      </c>
      <c r="T166" s="4"/>
      <c r="U166" s="4" t="s">
        <v>554</v>
      </c>
      <c r="V166" s="4" t="s">
        <v>597</v>
      </c>
    </row>
    <row r="167" spans="2:22" s="2" customFormat="1" ht="18" hidden="1" customHeight="1" x14ac:dyDescent="0.2">
      <c r="B167" s="8">
        <f t="shared" si="11"/>
        <v>150</v>
      </c>
      <c r="C167" s="4" t="s">
        <v>22</v>
      </c>
      <c r="D167" s="4">
        <v>8800222</v>
      </c>
      <c r="E167" s="20" t="str">
        <f t="shared" si="10"/>
        <v>8800222</v>
      </c>
      <c r="F167" s="20"/>
      <c r="G167" s="20"/>
      <c r="H167" s="35">
        <v>8800222</v>
      </c>
      <c r="I167" s="4" t="s">
        <v>11</v>
      </c>
      <c r="J167" s="4" t="s">
        <v>176</v>
      </c>
      <c r="K167" s="4" t="s">
        <v>452</v>
      </c>
      <c r="L167" s="35"/>
      <c r="M167" s="4"/>
      <c r="N167" s="4" t="s">
        <v>177</v>
      </c>
      <c r="O167" s="4" t="s">
        <v>72</v>
      </c>
      <c r="P167" s="4"/>
      <c r="Q167" s="4" t="s">
        <v>25</v>
      </c>
      <c r="R167" s="4">
        <v>0</v>
      </c>
      <c r="S167" s="4" t="s">
        <v>38</v>
      </c>
      <c r="T167" s="4"/>
      <c r="U167" s="4" t="s">
        <v>554</v>
      </c>
      <c r="V167" s="4" t="s">
        <v>597</v>
      </c>
    </row>
    <row r="168" spans="2:22" s="2" customFormat="1" ht="18" customHeight="1" x14ac:dyDescent="0.2">
      <c r="B168" s="19">
        <f t="shared" si="11"/>
        <v>151</v>
      </c>
      <c r="C168" s="18" t="s">
        <v>16</v>
      </c>
      <c r="D168" s="18">
        <v>160214126</v>
      </c>
      <c r="E168" s="18" t="str">
        <f t="shared" si="10"/>
        <v>160214126</v>
      </c>
      <c r="F168" s="18"/>
      <c r="G168" s="18"/>
      <c r="H168" s="35">
        <v>160214126</v>
      </c>
      <c r="I168" s="18" t="s">
        <v>11</v>
      </c>
      <c r="J168" s="26" t="s">
        <v>50</v>
      </c>
      <c r="K168" s="26" t="s">
        <v>437</v>
      </c>
      <c r="L168" s="35" t="s">
        <v>655</v>
      </c>
      <c r="M168" s="18" t="s">
        <v>656</v>
      </c>
      <c r="N168" s="18" t="s">
        <v>178</v>
      </c>
      <c r="O168" s="18" t="s">
        <v>14</v>
      </c>
      <c r="P168" s="18"/>
      <c r="Q168" s="18" t="s">
        <v>21</v>
      </c>
      <c r="R168" s="18">
        <v>1</v>
      </c>
      <c r="S168" s="18" t="s">
        <v>38</v>
      </c>
      <c r="T168" s="18"/>
      <c r="U168" s="18" t="s">
        <v>657</v>
      </c>
      <c r="V168" s="18" t="s">
        <v>658</v>
      </c>
    </row>
    <row r="169" spans="2:22" s="2" customFormat="1" ht="18" hidden="1" customHeight="1" x14ac:dyDescent="0.2">
      <c r="B169" s="8">
        <f t="shared" si="11"/>
        <v>152</v>
      </c>
      <c r="C169" s="4" t="s">
        <v>22</v>
      </c>
      <c r="D169" s="4">
        <v>4501115</v>
      </c>
      <c r="E169" s="20" t="str">
        <f t="shared" si="10"/>
        <v>4501115</v>
      </c>
      <c r="F169" s="20"/>
      <c r="G169" s="20"/>
      <c r="H169" s="35">
        <v>4501115</v>
      </c>
      <c r="I169" s="4" t="s">
        <v>11</v>
      </c>
      <c r="J169" s="4" t="s">
        <v>109</v>
      </c>
      <c r="K169" s="4" t="s">
        <v>432</v>
      </c>
      <c r="L169" s="35"/>
      <c r="M169" s="4"/>
      <c r="N169" s="4" t="s">
        <v>179</v>
      </c>
      <c r="O169" s="4" t="s">
        <v>14</v>
      </c>
      <c r="P169" s="4"/>
      <c r="Q169" s="4" t="s">
        <v>55</v>
      </c>
      <c r="R169" s="4">
        <v>4</v>
      </c>
      <c r="S169" s="4" t="s">
        <v>15</v>
      </c>
      <c r="T169" s="4"/>
      <c r="U169" s="4" t="s">
        <v>596</v>
      </c>
      <c r="V169" s="4" t="s">
        <v>597</v>
      </c>
    </row>
    <row r="170" spans="2:22" s="2" customFormat="1" ht="18" hidden="1" customHeight="1" x14ac:dyDescent="0.2">
      <c r="B170" s="8">
        <f t="shared" si="11"/>
        <v>153</v>
      </c>
      <c r="C170" s="4" t="s">
        <v>22</v>
      </c>
      <c r="D170" s="4">
        <v>4501116</v>
      </c>
      <c r="E170" s="20" t="str">
        <f t="shared" si="10"/>
        <v>4501116</v>
      </c>
      <c r="F170" s="20"/>
      <c r="G170" s="20"/>
      <c r="H170" s="35">
        <v>4501116</v>
      </c>
      <c r="I170" s="4" t="s">
        <v>11</v>
      </c>
      <c r="J170" s="4" t="s">
        <v>34</v>
      </c>
      <c r="K170" s="4" t="s">
        <v>418</v>
      </c>
      <c r="L170" s="35"/>
      <c r="M170" s="4"/>
      <c r="N170" s="4" t="s">
        <v>52</v>
      </c>
      <c r="O170" s="4" t="s">
        <v>14</v>
      </c>
      <c r="P170" s="4"/>
      <c r="Q170" s="4" t="s">
        <v>55</v>
      </c>
      <c r="R170" s="4">
        <v>4</v>
      </c>
      <c r="S170" s="4" t="s">
        <v>15</v>
      </c>
      <c r="T170" s="4"/>
      <c r="U170" s="4" t="s">
        <v>554</v>
      </c>
      <c r="V170" s="4" t="s">
        <v>659</v>
      </c>
    </row>
    <row r="171" spans="2:22" s="2" customFormat="1" ht="18" hidden="1" customHeight="1" x14ac:dyDescent="0.2">
      <c r="B171" s="8">
        <f t="shared" si="11"/>
        <v>154</v>
      </c>
      <c r="C171" s="4" t="s">
        <v>22</v>
      </c>
      <c r="D171" s="4">
        <v>5000471</v>
      </c>
      <c r="E171" s="20" t="str">
        <f t="shared" si="10"/>
        <v>5000471</v>
      </c>
      <c r="F171" s="20"/>
      <c r="G171" s="20"/>
      <c r="H171" s="35">
        <v>5000471</v>
      </c>
      <c r="I171" s="4" t="s">
        <v>11</v>
      </c>
      <c r="J171" s="4" t="s">
        <v>180</v>
      </c>
      <c r="K171" s="4" t="s">
        <v>453</v>
      </c>
      <c r="L171" s="35"/>
      <c r="M171" s="4"/>
      <c r="N171" s="4" t="s">
        <v>181</v>
      </c>
      <c r="O171" s="4" t="s">
        <v>14</v>
      </c>
      <c r="P171" s="4"/>
      <c r="Q171" s="4" t="s">
        <v>25</v>
      </c>
      <c r="R171" s="4">
        <v>0</v>
      </c>
      <c r="S171" s="4" t="s">
        <v>15</v>
      </c>
      <c r="T171" s="4"/>
      <c r="U171" s="4" t="s">
        <v>660</v>
      </c>
      <c r="V171" s="4" t="s">
        <v>594</v>
      </c>
    </row>
    <row r="172" spans="2:22" s="2" customFormat="1" ht="18" hidden="1" customHeight="1" x14ac:dyDescent="0.2">
      <c r="B172" s="8">
        <f t="shared" si="11"/>
        <v>155</v>
      </c>
      <c r="C172" s="4" t="s">
        <v>22</v>
      </c>
      <c r="D172" s="4">
        <v>510000193</v>
      </c>
      <c r="E172" s="20" t="str">
        <f t="shared" si="10"/>
        <v>510000193</v>
      </c>
      <c r="F172" s="20"/>
      <c r="G172" s="20"/>
      <c r="H172" s="35">
        <v>510000193</v>
      </c>
      <c r="I172" s="4" t="s">
        <v>11</v>
      </c>
      <c r="J172" s="4" t="s">
        <v>34</v>
      </c>
      <c r="K172" s="4" t="s">
        <v>418</v>
      </c>
      <c r="L172" s="35"/>
      <c r="M172" s="4"/>
      <c r="N172" s="4" t="s">
        <v>182</v>
      </c>
      <c r="O172" s="4" t="s">
        <v>14</v>
      </c>
      <c r="P172" s="4"/>
      <c r="Q172" s="4" t="s">
        <v>21</v>
      </c>
      <c r="R172" s="4">
        <v>1</v>
      </c>
      <c r="S172" s="4" t="s">
        <v>15</v>
      </c>
      <c r="T172" s="4"/>
      <c r="U172" s="4" t="s">
        <v>554</v>
      </c>
      <c r="V172" s="4" t="s">
        <v>661</v>
      </c>
    </row>
    <row r="173" spans="2:22" s="2" customFormat="1" ht="18" hidden="1" customHeight="1" x14ac:dyDescent="0.2">
      <c r="B173" s="8">
        <f t="shared" si="11"/>
        <v>156</v>
      </c>
      <c r="C173" s="4" t="s">
        <v>22</v>
      </c>
      <c r="D173" s="4">
        <v>510002465</v>
      </c>
      <c r="E173" s="20" t="str">
        <f t="shared" si="10"/>
        <v>510002465</v>
      </c>
      <c r="F173" s="20"/>
      <c r="G173" s="20"/>
      <c r="H173" s="35">
        <v>510002465</v>
      </c>
      <c r="I173" s="4" t="s">
        <v>11</v>
      </c>
      <c r="J173" s="4" t="s">
        <v>183</v>
      </c>
      <c r="K173" s="4" t="s">
        <v>454</v>
      </c>
      <c r="L173" s="35"/>
      <c r="M173" s="4"/>
      <c r="N173" s="4" t="s">
        <v>184</v>
      </c>
      <c r="O173" s="4" t="s">
        <v>14</v>
      </c>
      <c r="P173" s="4"/>
      <c r="Q173" s="4" t="s">
        <v>18</v>
      </c>
      <c r="R173" s="4">
        <v>2</v>
      </c>
      <c r="S173" s="4" t="s">
        <v>15</v>
      </c>
      <c r="T173" s="4"/>
      <c r="U173" s="4" t="s">
        <v>660</v>
      </c>
      <c r="V173" s="4" t="s">
        <v>594</v>
      </c>
    </row>
    <row r="174" spans="2:22" s="2" customFormat="1" ht="18" hidden="1" customHeight="1" x14ac:dyDescent="0.2">
      <c r="B174" s="8">
        <f t="shared" si="11"/>
        <v>157</v>
      </c>
      <c r="C174" s="4" t="s">
        <v>22</v>
      </c>
      <c r="D174" s="4">
        <v>5101288</v>
      </c>
      <c r="E174" s="20" t="str">
        <f t="shared" si="10"/>
        <v>5101288</v>
      </c>
      <c r="F174" s="20"/>
      <c r="G174" s="20"/>
      <c r="H174" s="35">
        <v>5101288</v>
      </c>
      <c r="I174" s="4" t="s">
        <v>11</v>
      </c>
      <c r="J174" s="4" t="s">
        <v>134</v>
      </c>
      <c r="K174" s="4" t="s">
        <v>455</v>
      </c>
      <c r="L174" s="35"/>
      <c r="M174" s="4"/>
      <c r="N174" s="4" t="s">
        <v>185</v>
      </c>
      <c r="O174" s="4" t="s">
        <v>14</v>
      </c>
      <c r="P174" s="4"/>
      <c r="Q174" s="4" t="s">
        <v>21</v>
      </c>
      <c r="R174" s="4">
        <v>1</v>
      </c>
      <c r="S174" s="4" t="s">
        <v>15</v>
      </c>
      <c r="T174" s="4"/>
      <c r="U174" s="4" t="s">
        <v>554</v>
      </c>
      <c r="V174" s="4" t="s">
        <v>661</v>
      </c>
    </row>
    <row r="175" spans="2:22" s="2" customFormat="1" ht="18" hidden="1" customHeight="1" x14ac:dyDescent="0.2">
      <c r="B175" s="8">
        <f t="shared" si="11"/>
        <v>158</v>
      </c>
      <c r="C175" s="4" t="s">
        <v>22</v>
      </c>
      <c r="D175" s="4">
        <v>5101290</v>
      </c>
      <c r="E175" s="20" t="str">
        <f t="shared" si="10"/>
        <v>5101290</v>
      </c>
      <c r="F175" s="20"/>
      <c r="G175" s="20"/>
      <c r="H175" s="35">
        <v>5101290</v>
      </c>
      <c r="I175" s="4" t="s">
        <v>11</v>
      </c>
      <c r="J175" s="4" t="s">
        <v>186</v>
      </c>
      <c r="K175" s="4" t="s">
        <v>456</v>
      </c>
      <c r="L175" s="35"/>
      <c r="M175" s="4"/>
      <c r="N175" s="4" t="s">
        <v>187</v>
      </c>
      <c r="O175" s="4" t="s">
        <v>14</v>
      </c>
      <c r="P175" s="4"/>
      <c r="Q175" s="4" t="s">
        <v>21</v>
      </c>
      <c r="R175" s="4">
        <v>1</v>
      </c>
      <c r="S175" s="4" t="s">
        <v>15</v>
      </c>
      <c r="T175" s="4"/>
      <c r="U175" s="4" t="s">
        <v>593</v>
      </c>
      <c r="V175" s="4" t="s">
        <v>606</v>
      </c>
    </row>
    <row r="176" spans="2:22" s="2" customFormat="1" ht="18" hidden="1" customHeight="1" x14ac:dyDescent="0.2">
      <c r="B176" s="8">
        <f t="shared" si="11"/>
        <v>159</v>
      </c>
      <c r="C176" s="4" t="s">
        <v>22</v>
      </c>
      <c r="D176" s="4">
        <v>5101521</v>
      </c>
      <c r="E176" s="20" t="str">
        <f t="shared" si="10"/>
        <v>5101521</v>
      </c>
      <c r="F176" s="20"/>
      <c r="G176" s="20"/>
      <c r="H176" s="35">
        <v>5101521</v>
      </c>
      <c r="I176" s="4" t="s">
        <v>11</v>
      </c>
      <c r="J176" s="4" t="s">
        <v>188</v>
      </c>
      <c r="K176" s="4" t="s">
        <v>440</v>
      </c>
      <c r="L176" s="35"/>
      <c r="M176" s="4"/>
      <c r="N176" s="4" t="s">
        <v>189</v>
      </c>
      <c r="O176" s="4" t="s">
        <v>14</v>
      </c>
      <c r="P176" s="4"/>
      <c r="Q176" s="4" t="s">
        <v>132</v>
      </c>
      <c r="R176" s="4">
        <v>8</v>
      </c>
      <c r="S176" s="4" t="s">
        <v>15</v>
      </c>
      <c r="T176" s="4"/>
      <c r="U176" s="4" t="s">
        <v>662</v>
      </c>
      <c r="V176" s="4" t="s">
        <v>661</v>
      </c>
    </row>
    <row r="177" spans="2:22" s="2" customFormat="1" ht="18" hidden="1" customHeight="1" x14ac:dyDescent="0.2">
      <c r="B177" s="8">
        <f t="shared" si="11"/>
        <v>160</v>
      </c>
      <c r="C177" s="4" t="s">
        <v>22</v>
      </c>
      <c r="D177" s="4">
        <v>5101522</v>
      </c>
      <c r="E177" s="20" t="str">
        <f t="shared" si="10"/>
        <v>5101522</v>
      </c>
      <c r="F177" s="20"/>
      <c r="G177" s="20"/>
      <c r="H177" s="35">
        <v>5101522</v>
      </c>
      <c r="I177" s="4" t="s">
        <v>11</v>
      </c>
      <c r="J177" s="4" t="s">
        <v>58</v>
      </c>
      <c r="K177" s="4" t="s">
        <v>421</v>
      </c>
      <c r="L177" s="35"/>
      <c r="M177" s="4"/>
      <c r="N177" s="4" t="s">
        <v>59</v>
      </c>
      <c r="O177" s="4" t="s">
        <v>14</v>
      </c>
      <c r="P177" s="4"/>
      <c r="Q177" s="4" t="s">
        <v>190</v>
      </c>
      <c r="R177" s="4">
        <v>5</v>
      </c>
      <c r="S177" s="4" t="s">
        <v>15</v>
      </c>
      <c r="T177" s="4"/>
      <c r="U177" s="4" t="s">
        <v>662</v>
      </c>
      <c r="V177" s="4" t="s">
        <v>597</v>
      </c>
    </row>
    <row r="178" spans="2:22" s="2" customFormat="1" ht="18" hidden="1" customHeight="1" x14ac:dyDescent="0.2">
      <c r="B178" s="8">
        <f t="shared" si="11"/>
        <v>161</v>
      </c>
      <c r="C178" s="4" t="s">
        <v>22</v>
      </c>
      <c r="D178" s="4">
        <v>5101787</v>
      </c>
      <c r="E178" s="20" t="str">
        <f t="shared" si="10"/>
        <v>5101787</v>
      </c>
      <c r="F178" s="20"/>
      <c r="G178" s="20"/>
      <c r="H178" s="35">
        <v>5101787</v>
      </c>
      <c r="I178" s="4" t="s">
        <v>11</v>
      </c>
      <c r="J178" s="4" t="s">
        <v>186</v>
      </c>
      <c r="K178" s="4" t="s">
        <v>456</v>
      </c>
      <c r="L178" s="35"/>
      <c r="M178" s="4"/>
      <c r="N178" s="4" t="s">
        <v>191</v>
      </c>
      <c r="O178" s="4" t="s">
        <v>14</v>
      </c>
      <c r="P178" s="4"/>
      <c r="Q178" s="4" t="s">
        <v>18</v>
      </c>
      <c r="R178" s="4">
        <v>2</v>
      </c>
      <c r="S178" s="4" t="s">
        <v>15</v>
      </c>
      <c r="T178" s="4"/>
      <c r="U178" s="4" t="s">
        <v>660</v>
      </c>
      <c r="V178" s="4" t="s">
        <v>597</v>
      </c>
    </row>
    <row r="179" spans="2:22" s="2" customFormat="1" ht="18" hidden="1" customHeight="1" x14ac:dyDescent="0.2">
      <c r="B179" s="8">
        <f t="shared" si="11"/>
        <v>162</v>
      </c>
      <c r="C179" s="4" t="s">
        <v>22</v>
      </c>
      <c r="D179" s="4">
        <v>5101788</v>
      </c>
      <c r="E179" s="20" t="str">
        <f t="shared" si="10"/>
        <v>5101788</v>
      </c>
      <c r="F179" s="20"/>
      <c r="G179" s="20"/>
      <c r="H179" s="35">
        <v>5101788</v>
      </c>
      <c r="I179" s="4" t="s">
        <v>11</v>
      </c>
      <c r="J179" s="4" t="s">
        <v>23</v>
      </c>
      <c r="K179" s="4" t="s">
        <v>454</v>
      </c>
      <c r="L179" s="35"/>
      <c r="M179" s="4"/>
      <c r="N179" s="4" t="s">
        <v>192</v>
      </c>
      <c r="O179" s="4" t="s">
        <v>14</v>
      </c>
      <c r="P179" s="4"/>
      <c r="Q179" s="4" t="s">
        <v>18</v>
      </c>
      <c r="R179" s="4">
        <v>2</v>
      </c>
      <c r="S179" s="4" t="s">
        <v>38</v>
      </c>
      <c r="T179" s="4"/>
      <c r="U179" s="4" t="s">
        <v>654</v>
      </c>
      <c r="V179" s="4" t="s">
        <v>597</v>
      </c>
    </row>
    <row r="180" spans="2:22" s="2" customFormat="1" ht="18" hidden="1" customHeight="1" x14ac:dyDescent="0.2">
      <c r="B180" s="8">
        <f t="shared" si="11"/>
        <v>163</v>
      </c>
      <c r="C180" s="4" t="s">
        <v>22</v>
      </c>
      <c r="D180" s="4">
        <v>5101967</v>
      </c>
      <c r="E180" s="20" t="str">
        <f t="shared" si="10"/>
        <v>5101967</v>
      </c>
      <c r="F180" s="20"/>
      <c r="G180" s="20"/>
      <c r="H180" s="35">
        <v>5101967</v>
      </c>
      <c r="I180" s="4" t="s">
        <v>11</v>
      </c>
      <c r="J180" s="4" t="s">
        <v>60</v>
      </c>
      <c r="K180" s="4" t="s">
        <v>422</v>
      </c>
      <c r="L180" s="35"/>
      <c r="M180" s="4"/>
      <c r="N180" s="4" t="s">
        <v>61</v>
      </c>
      <c r="O180" s="4" t="s">
        <v>14</v>
      </c>
      <c r="P180" s="4"/>
      <c r="Q180" s="4" t="s">
        <v>55</v>
      </c>
      <c r="R180" s="4">
        <v>4</v>
      </c>
      <c r="S180" s="4" t="s">
        <v>15</v>
      </c>
      <c r="T180" s="4"/>
      <c r="U180" s="4" t="s">
        <v>554</v>
      </c>
      <c r="V180" s="4" t="s">
        <v>653</v>
      </c>
    </row>
    <row r="181" spans="2:22" s="2" customFormat="1" ht="18" hidden="1" customHeight="1" x14ac:dyDescent="0.2">
      <c r="B181" s="8">
        <f t="shared" si="11"/>
        <v>164</v>
      </c>
      <c r="C181" s="4" t="s">
        <v>22</v>
      </c>
      <c r="D181" s="4">
        <v>5101968</v>
      </c>
      <c r="E181" s="20" t="str">
        <f t="shared" si="10"/>
        <v>5101968</v>
      </c>
      <c r="F181" s="20"/>
      <c r="G181" s="20"/>
      <c r="H181" s="35">
        <v>5101968</v>
      </c>
      <c r="I181" s="4" t="s">
        <v>11</v>
      </c>
      <c r="J181" s="4" t="s">
        <v>60</v>
      </c>
      <c r="K181" s="4" t="s">
        <v>422</v>
      </c>
      <c r="L181" s="35"/>
      <c r="M181" s="4"/>
      <c r="N181" s="4" t="s">
        <v>193</v>
      </c>
      <c r="O181" s="4" t="s">
        <v>14</v>
      </c>
      <c r="P181" s="4"/>
      <c r="Q181" s="4" t="s">
        <v>55</v>
      </c>
      <c r="R181" s="4">
        <v>4</v>
      </c>
      <c r="S181" s="4" t="s">
        <v>15</v>
      </c>
      <c r="T181" s="4"/>
      <c r="U181" s="4" t="s">
        <v>554</v>
      </c>
      <c r="V181" s="4" t="s">
        <v>594</v>
      </c>
    </row>
    <row r="182" spans="2:22" s="2" customFormat="1" ht="18" hidden="1" customHeight="1" x14ac:dyDescent="0.2">
      <c r="B182" s="8">
        <f t="shared" si="11"/>
        <v>165</v>
      </c>
      <c r="C182" s="4" t="s">
        <v>22</v>
      </c>
      <c r="D182" s="4">
        <v>5102016</v>
      </c>
      <c r="E182" s="20" t="str">
        <f t="shared" si="10"/>
        <v>5102016</v>
      </c>
      <c r="F182" s="20"/>
      <c r="G182" s="20"/>
      <c r="H182" s="35">
        <v>5102016</v>
      </c>
      <c r="I182" s="4" t="s">
        <v>11</v>
      </c>
      <c r="J182" s="4" t="s">
        <v>34</v>
      </c>
      <c r="K182" s="4" t="s">
        <v>418</v>
      </c>
      <c r="L182" s="35"/>
      <c r="M182" s="4"/>
      <c r="N182" s="4" t="s">
        <v>194</v>
      </c>
      <c r="O182" s="4" t="s">
        <v>14</v>
      </c>
      <c r="P182" s="4"/>
      <c r="Q182" s="4" t="s">
        <v>18</v>
      </c>
      <c r="R182" s="4">
        <v>2</v>
      </c>
      <c r="S182" s="4" t="s">
        <v>15</v>
      </c>
      <c r="T182" s="4"/>
      <c r="U182" s="4" t="s">
        <v>554</v>
      </c>
      <c r="V182" s="4" t="s">
        <v>594</v>
      </c>
    </row>
    <row r="183" spans="2:22" s="2" customFormat="1" ht="18" hidden="1" customHeight="1" x14ac:dyDescent="0.2">
      <c r="B183" s="8">
        <f t="shared" si="11"/>
        <v>166</v>
      </c>
      <c r="C183" s="4" t="s">
        <v>22</v>
      </c>
      <c r="D183" s="4">
        <v>5102165</v>
      </c>
      <c r="E183" s="20" t="str">
        <f t="shared" si="10"/>
        <v>5102165</v>
      </c>
      <c r="F183" s="20"/>
      <c r="G183" s="20"/>
      <c r="H183" s="35">
        <v>5102165</v>
      </c>
      <c r="I183" s="4" t="s">
        <v>11</v>
      </c>
      <c r="J183" s="4" t="s">
        <v>188</v>
      </c>
      <c r="K183" s="4" t="s">
        <v>440</v>
      </c>
      <c r="L183" s="35"/>
      <c r="M183" s="4"/>
      <c r="N183" s="4" t="s">
        <v>195</v>
      </c>
      <c r="O183" s="4" t="s">
        <v>14</v>
      </c>
      <c r="P183" s="4"/>
      <c r="Q183" s="4" t="s">
        <v>196</v>
      </c>
      <c r="R183" s="4">
        <v>58</v>
      </c>
      <c r="S183" s="4" t="s">
        <v>15</v>
      </c>
      <c r="T183" s="4"/>
      <c r="U183" s="4" t="s">
        <v>660</v>
      </c>
      <c r="V183" s="4" t="s">
        <v>653</v>
      </c>
    </row>
    <row r="184" spans="2:22" s="2" customFormat="1" ht="18" hidden="1" customHeight="1" x14ac:dyDescent="0.2">
      <c r="B184" s="8">
        <f t="shared" si="11"/>
        <v>167</v>
      </c>
      <c r="C184" s="4" t="s">
        <v>22</v>
      </c>
      <c r="D184" s="4">
        <v>5102425</v>
      </c>
      <c r="E184" s="20" t="str">
        <f t="shared" si="10"/>
        <v>5102425</v>
      </c>
      <c r="F184" s="20"/>
      <c r="G184" s="20"/>
      <c r="H184" s="35">
        <v>5102425</v>
      </c>
      <c r="I184" s="4" t="s">
        <v>11</v>
      </c>
      <c r="J184" s="4" t="s">
        <v>109</v>
      </c>
      <c r="K184" s="4" t="s">
        <v>432</v>
      </c>
      <c r="L184" s="35"/>
      <c r="M184" s="4"/>
      <c r="N184" s="4" t="s">
        <v>197</v>
      </c>
      <c r="O184" s="4" t="s">
        <v>14</v>
      </c>
      <c r="P184" s="4"/>
      <c r="Q184" s="4" t="s">
        <v>21</v>
      </c>
      <c r="R184" s="4">
        <v>1</v>
      </c>
      <c r="S184" s="4" t="s">
        <v>15</v>
      </c>
      <c r="T184" s="4"/>
      <c r="U184" s="4" t="s">
        <v>660</v>
      </c>
      <c r="V184" s="4" t="s">
        <v>383</v>
      </c>
    </row>
    <row r="185" spans="2:22" s="2" customFormat="1" ht="18" hidden="1" customHeight="1" x14ac:dyDescent="0.2">
      <c r="B185" s="8">
        <f t="shared" si="11"/>
        <v>168</v>
      </c>
      <c r="C185" s="4" t="s">
        <v>22</v>
      </c>
      <c r="D185" s="4">
        <v>5102452</v>
      </c>
      <c r="E185" s="20" t="str">
        <f t="shared" si="10"/>
        <v>5102452</v>
      </c>
      <c r="F185" s="20"/>
      <c r="G185" s="20"/>
      <c r="H185" s="35">
        <v>5102452</v>
      </c>
      <c r="I185" s="4" t="s">
        <v>11</v>
      </c>
      <c r="J185" s="4" t="s">
        <v>23</v>
      </c>
      <c r="K185" s="4" t="s">
        <v>410</v>
      </c>
      <c r="L185" s="35"/>
      <c r="M185" s="4"/>
      <c r="N185" s="4" t="s">
        <v>198</v>
      </c>
      <c r="O185" s="4" t="s">
        <v>14</v>
      </c>
      <c r="P185" s="4"/>
      <c r="Q185" s="4" t="s">
        <v>18</v>
      </c>
      <c r="R185" s="4">
        <v>2</v>
      </c>
      <c r="S185" s="4" t="s">
        <v>15</v>
      </c>
      <c r="T185" s="4"/>
      <c r="U185" s="4" t="s">
        <v>660</v>
      </c>
      <c r="V185" s="4" t="s">
        <v>661</v>
      </c>
    </row>
    <row r="186" spans="2:22" s="2" customFormat="1" ht="18" hidden="1" customHeight="1" x14ac:dyDescent="0.2">
      <c r="B186" s="8">
        <f t="shared" si="11"/>
        <v>169</v>
      </c>
      <c r="C186" s="4" t="s">
        <v>22</v>
      </c>
      <c r="D186" s="4">
        <v>5102545</v>
      </c>
      <c r="E186" s="20" t="str">
        <f t="shared" si="10"/>
        <v>5102545</v>
      </c>
      <c r="F186" s="20"/>
      <c r="G186" s="20"/>
      <c r="H186" s="35">
        <v>5102545</v>
      </c>
      <c r="I186" s="4" t="s">
        <v>11</v>
      </c>
      <c r="J186" s="4" t="s">
        <v>109</v>
      </c>
      <c r="K186" s="4" t="s">
        <v>432</v>
      </c>
      <c r="L186" s="35"/>
      <c r="M186" s="4"/>
      <c r="N186" s="4" t="s">
        <v>199</v>
      </c>
      <c r="O186" s="4" t="s">
        <v>14</v>
      </c>
      <c r="P186" s="4"/>
      <c r="Q186" s="4" t="s">
        <v>200</v>
      </c>
      <c r="R186" s="4">
        <v>6</v>
      </c>
      <c r="S186" s="4" t="s">
        <v>15</v>
      </c>
      <c r="T186" s="4"/>
      <c r="U186" s="4" t="s">
        <v>660</v>
      </c>
      <c r="V186" s="4" t="s">
        <v>661</v>
      </c>
    </row>
    <row r="187" spans="2:22" s="2" customFormat="1" ht="18" hidden="1" customHeight="1" x14ac:dyDescent="0.2">
      <c r="B187" s="8">
        <f t="shared" si="11"/>
        <v>170</v>
      </c>
      <c r="C187" s="4" t="s">
        <v>22</v>
      </c>
      <c r="D187" s="4">
        <v>5102566</v>
      </c>
      <c r="E187" s="20" t="str">
        <f t="shared" si="10"/>
        <v>5102566</v>
      </c>
      <c r="F187" s="20"/>
      <c r="G187" s="20"/>
      <c r="H187" s="35">
        <v>5102566</v>
      </c>
      <c r="I187" s="4" t="s">
        <v>11</v>
      </c>
      <c r="J187" s="4" t="s">
        <v>34</v>
      </c>
      <c r="K187" s="4" t="s">
        <v>418</v>
      </c>
      <c r="L187" s="35"/>
      <c r="M187" s="4"/>
      <c r="N187" s="4" t="s">
        <v>201</v>
      </c>
      <c r="O187" s="4" t="s">
        <v>14</v>
      </c>
      <c r="P187" s="4"/>
      <c r="Q187" s="4" t="s">
        <v>21</v>
      </c>
      <c r="R187" s="4">
        <v>1</v>
      </c>
      <c r="S187" s="4" t="s">
        <v>15</v>
      </c>
      <c r="T187" s="4"/>
      <c r="U187" s="4" t="s">
        <v>662</v>
      </c>
      <c r="V187" s="4" t="s">
        <v>597</v>
      </c>
    </row>
    <row r="188" spans="2:22" s="2" customFormat="1" ht="18" hidden="1" customHeight="1" x14ac:dyDescent="0.2">
      <c r="B188" s="8">
        <f t="shared" si="11"/>
        <v>171</v>
      </c>
      <c r="C188" s="4" t="s">
        <v>22</v>
      </c>
      <c r="D188" s="4">
        <v>5102695</v>
      </c>
      <c r="E188" s="20" t="str">
        <f t="shared" si="10"/>
        <v>5102695</v>
      </c>
      <c r="F188" s="20"/>
      <c r="G188" s="20"/>
      <c r="H188" s="35">
        <v>5102695</v>
      </c>
      <c r="I188" s="4" t="s">
        <v>11</v>
      </c>
      <c r="J188" s="4" t="s">
        <v>188</v>
      </c>
      <c r="K188" s="4" t="s">
        <v>440</v>
      </c>
      <c r="L188" s="35"/>
      <c r="M188" s="4"/>
      <c r="N188" s="4" t="s">
        <v>202</v>
      </c>
      <c r="O188" s="4" t="s">
        <v>14</v>
      </c>
      <c r="P188" s="4"/>
      <c r="Q188" s="4" t="s">
        <v>18</v>
      </c>
      <c r="R188" s="4">
        <v>2</v>
      </c>
      <c r="S188" s="4" t="s">
        <v>15</v>
      </c>
      <c r="T188" s="4"/>
      <c r="U188" s="4" t="s">
        <v>662</v>
      </c>
      <c r="V188" s="4" t="s">
        <v>594</v>
      </c>
    </row>
    <row r="189" spans="2:22" s="2" customFormat="1" ht="18" hidden="1" customHeight="1" x14ac:dyDescent="0.2">
      <c r="B189" s="8">
        <f t="shared" si="11"/>
        <v>172</v>
      </c>
      <c r="C189" s="4" t="s">
        <v>22</v>
      </c>
      <c r="D189" s="4">
        <v>5102725</v>
      </c>
      <c r="E189" s="20" t="str">
        <f t="shared" si="10"/>
        <v>5102725</v>
      </c>
      <c r="F189" s="20"/>
      <c r="G189" s="20"/>
      <c r="H189" s="35">
        <v>5102725</v>
      </c>
      <c r="I189" s="4" t="s">
        <v>11</v>
      </c>
      <c r="J189" s="4" t="s">
        <v>34</v>
      </c>
      <c r="K189" s="4" t="s">
        <v>418</v>
      </c>
      <c r="L189" s="35"/>
      <c r="M189" s="4"/>
      <c r="N189" s="4" t="s">
        <v>203</v>
      </c>
      <c r="O189" s="4" t="s">
        <v>14</v>
      </c>
      <c r="P189" s="4"/>
      <c r="Q189" s="4" t="s">
        <v>21</v>
      </c>
      <c r="R189" s="4">
        <v>1</v>
      </c>
      <c r="S189" s="4" t="s">
        <v>15</v>
      </c>
      <c r="T189" s="4"/>
      <c r="U189" s="4" t="s">
        <v>554</v>
      </c>
      <c r="V189" s="4" t="s">
        <v>606</v>
      </c>
    </row>
    <row r="190" spans="2:22" s="2" customFormat="1" ht="18" hidden="1" customHeight="1" x14ac:dyDescent="0.2">
      <c r="B190" s="8">
        <f t="shared" si="11"/>
        <v>173</v>
      </c>
      <c r="C190" s="4" t="s">
        <v>22</v>
      </c>
      <c r="D190" s="4">
        <v>5102868</v>
      </c>
      <c r="E190" s="20" t="str">
        <f t="shared" si="10"/>
        <v>5102868</v>
      </c>
      <c r="F190" s="20"/>
      <c r="G190" s="20"/>
      <c r="H190" s="35">
        <v>5102868</v>
      </c>
      <c r="I190" s="4" t="s">
        <v>11</v>
      </c>
      <c r="J190" s="4" t="s">
        <v>204</v>
      </c>
      <c r="K190" s="4" t="s">
        <v>428</v>
      </c>
      <c r="L190" s="35"/>
      <c r="M190" s="4"/>
      <c r="N190" s="4" t="s">
        <v>205</v>
      </c>
      <c r="O190" s="4" t="s">
        <v>14</v>
      </c>
      <c r="P190" s="4"/>
      <c r="Q190" s="4" t="s">
        <v>206</v>
      </c>
      <c r="R190" s="4">
        <v>24</v>
      </c>
      <c r="S190" s="4" t="s">
        <v>15</v>
      </c>
      <c r="T190" s="4"/>
      <c r="U190" s="4" t="s">
        <v>554</v>
      </c>
      <c r="V190" s="4" t="s">
        <v>663</v>
      </c>
    </row>
    <row r="191" spans="2:22" s="2" customFormat="1" ht="18" hidden="1" customHeight="1" x14ac:dyDescent="0.2">
      <c r="B191" s="8">
        <f t="shared" si="11"/>
        <v>174</v>
      </c>
      <c r="C191" s="4" t="s">
        <v>22</v>
      </c>
      <c r="D191" s="4">
        <v>5102969</v>
      </c>
      <c r="E191" s="20" t="str">
        <f t="shared" si="10"/>
        <v>5102969</v>
      </c>
      <c r="F191" s="20"/>
      <c r="G191" s="20"/>
      <c r="H191" s="35">
        <v>5102969</v>
      </c>
      <c r="I191" s="4" t="s">
        <v>11</v>
      </c>
      <c r="J191" s="4" t="s">
        <v>120</v>
      </c>
      <c r="K191" s="4" t="s">
        <v>437</v>
      </c>
      <c r="L191" s="35"/>
      <c r="M191" s="4"/>
      <c r="N191" s="4" t="s">
        <v>121</v>
      </c>
      <c r="O191" s="4" t="s">
        <v>14</v>
      </c>
      <c r="P191" s="4"/>
      <c r="Q191" s="4" t="s">
        <v>21</v>
      </c>
      <c r="R191" s="4">
        <v>1</v>
      </c>
      <c r="S191" s="4" t="s">
        <v>15</v>
      </c>
      <c r="T191" s="4"/>
      <c r="U191" s="4" t="s">
        <v>554</v>
      </c>
      <c r="V191" s="4" t="s">
        <v>661</v>
      </c>
    </row>
    <row r="192" spans="2:22" s="2" customFormat="1" ht="18" hidden="1" customHeight="1" x14ac:dyDescent="0.2">
      <c r="B192" s="8">
        <f t="shared" si="11"/>
        <v>175</v>
      </c>
      <c r="C192" s="4" t="s">
        <v>22</v>
      </c>
      <c r="D192" s="4">
        <v>5102972</v>
      </c>
      <c r="E192" s="20" t="str">
        <f t="shared" si="10"/>
        <v>5102972</v>
      </c>
      <c r="F192" s="20"/>
      <c r="G192" s="20"/>
      <c r="H192" s="35">
        <v>5102972</v>
      </c>
      <c r="I192" s="4" t="s">
        <v>11</v>
      </c>
      <c r="J192" s="4" t="s">
        <v>207</v>
      </c>
      <c r="K192" s="4" t="s">
        <v>457</v>
      </c>
      <c r="L192" s="35"/>
      <c r="M192" s="4"/>
      <c r="N192" s="4" t="s">
        <v>208</v>
      </c>
      <c r="O192" s="4" t="s">
        <v>14</v>
      </c>
      <c r="P192" s="4"/>
      <c r="Q192" s="4" t="s">
        <v>209</v>
      </c>
      <c r="R192" s="4">
        <v>16</v>
      </c>
      <c r="S192" s="4" t="s">
        <v>15</v>
      </c>
      <c r="T192" s="4"/>
      <c r="U192" s="4" t="s">
        <v>660</v>
      </c>
      <c r="V192" s="4" t="s">
        <v>597</v>
      </c>
    </row>
    <row r="193" spans="2:22" s="2" customFormat="1" ht="18" hidden="1" customHeight="1" x14ac:dyDescent="0.2">
      <c r="B193" s="8">
        <f t="shared" si="11"/>
        <v>176</v>
      </c>
      <c r="C193" s="4" t="s">
        <v>22</v>
      </c>
      <c r="D193" s="4">
        <v>570000209</v>
      </c>
      <c r="E193" s="20" t="str">
        <f t="shared" si="10"/>
        <v>570000209</v>
      </c>
      <c r="F193" s="20"/>
      <c r="G193" s="20"/>
      <c r="H193" s="35">
        <v>570000209</v>
      </c>
      <c r="I193" s="4" t="s">
        <v>11</v>
      </c>
      <c r="J193" s="4" t="s">
        <v>60</v>
      </c>
      <c r="K193" s="4" t="s">
        <v>422</v>
      </c>
      <c r="L193" s="35"/>
      <c r="M193" s="4"/>
      <c r="N193" s="4" t="s">
        <v>210</v>
      </c>
      <c r="O193" s="4" t="s">
        <v>14</v>
      </c>
      <c r="P193" s="4"/>
      <c r="Q193" s="4" t="s">
        <v>211</v>
      </c>
      <c r="R193" s="4">
        <v>12</v>
      </c>
      <c r="S193" s="4" t="s">
        <v>15</v>
      </c>
      <c r="T193" s="4"/>
      <c r="U193" s="4" t="s">
        <v>554</v>
      </c>
      <c r="V193" s="4" t="s">
        <v>661</v>
      </c>
    </row>
    <row r="194" spans="2:22" s="2" customFormat="1" ht="18" hidden="1" customHeight="1" x14ac:dyDescent="0.2">
      <c r="B194" s="8">
        <f t="shared" si="11"/>
        <v>177</v>
      </c>
      <c r="C194" s="4" t="s">
        <v>22</v>
      </c>
      <c r="D194" s="4">
        <v>570000585</v>
      </c>
      <c r="E194" s="20" t="str">
        <f t="shared" si="10"/>
        <v>570000585</v>
      </c>
      <c r="F194" s="20"/>
      <c r="G194" s="20"/>
      <c r="H194" s="35">
        <v>570000585</v>
      </c>
      <c r="I194" s="4" t="s">
        <v>11</v>
      </c>
      <c r="J194" s="4" t="s">
        <v>60</v>
      </c>
      <c r="K194" s="4" t="s">
        <v>422</v>
      </c>
      <c r="L194" s="35"/>
      <c r="M194" s="4"/>
      <c r="N194" s="4" t="s">
        <v>664</v>
      </c>
      <c r="O194" s="4" t="s">
        <v>14</v>
      </c>
      <c r="P194" s="4"/>
      <c r="Q194" s="4" t="s">
        <v>21</v>
      </c>
      <c r="R194" s="4">
        <v>1</v>
      </c>
      <c r="S194" s="4" t="s">
        <v>15</v>
      </c>
      <c r="T194" s="4"/>
      <c r="U194" s="4" t="s">
        <v>665</v>
      </c>
      <c r="V194" s="4" t="s">
        <v>661</v>
      </c>
    </row>
    <row r="195" spans="2:22" s="2" customFormat="1" ht="18" hidden="1" customHeight="1" x14ac:dyDescent="0.2">
      <c r="B195" s="8">
        <f t="shared" si="11"/>
        <v>178</v>
      </c>
      <c r="C195" s="4" t="s">
        <v>22</v>
      </c>
      <c r="D195" s="4">
        <v>570000896</v>
      </c>
      <c r="E195" s="20" t="str">
        <f t="shared" si="10"/>
        <v>570000896</v>
      </c>
      <c r="F195" s="20"/>
      <c r="G195" s="20"/>
      <c r="H195" s="35">
        <v>570000896</v>
      </c>
      <c r="I195" s="4" t="s">
        <v>11</v>
      </c>
      <c r="J195" s="4" t="s">
        <v>34</v>
      </c>
      <c r="K195" s="4" t="s">
        <v>418</v>
      </c>
      <c r="L195" s="35"/>
      <c r="M195" s="4"/>
      <c r="N195" s="4" t="s">
        <v>212</v>
      </c>
      <c r="O195" s="4" t="s">
        <v>14</v>
      </c>
      <c r="P195" s="4"/>
      <c r="Q195" s="4" t="s">
        <v>18</v>
      </c>
      <c r="R195" s="4">
        <v>2</v>
      </c>
      <c r="S195" s="4" t="s">
        <v>15</v>
      </c>
      <c r="T195" s="4"/>
      <c r="U195" s="4" t="s">
        <v>660</v>
      </c>
      <c r="V195" s="4" t="s">
        <v>594</v>
      </c>
    </row>
    <row r="196" spans="2:22" s="2" customFormat="1" ht="18" hidden="1" customHeight="1" x14ac:dyDescent="0.2">
      <c r="B196" s="8">
        <f t="shared" si="11"/>
        <v>179</v>
      </c>
      <c r="C196" s="4" t="s">
        <v>22</v>
      </c>
      <c r="D196" s="4">
        <v>7700004</v>
      </c>
      <c r="E196" s="20" t="str">
        <f t="shared" si="10"/>
        <v>7700004</v>
      </c>
      <c r="F196" s="20"/>
      <c r="G196" s="20"/>
      <c r="H196" s="35">
        <v>7700004</v>
      </c>
      <c r="I196" s="4" t="s">
        <v>11</v>
      </c>
      <c r="J196" s="4" t="s">
        <v>213</v>
      </c>
      <c r="K196" s="4" t="s">
        <v>458</v>
      </c>
      <c r="L196" s="35"/>
      <c r="M196" s="4"/>
      <c r="N196" s="4" t="s">
        <v>214</v>
      </c>
      <c r="O196" s="4" t="s">
        <v>14</v>
      </c>
      <c r="P196" s="4"/>
      <c r="Q196" s="4" t="s">
        <v>215</v>
      </c>
      <c r="R196" s="4">
        <v>28</v>
      </c>
      <c r="S196" s="4" t="s">
        <v>15</v>
      </c>
      <c r="T196" s="4"/>
      <c r="U196" s="4" t="s">
        <v>554</v>
      </c>
      <c r="V196" s="4" t="s">
        <v>661</v>
      </c>
    </row>
    <row r="197" spans="2:22" s="2" customFormat="1" ht="18" hidden="1" customHeight="1" x14ac:dyDescent="0.2">
      <c r="B197" s="8">
        <f t="shared" si="11"/>
        <v>180</v>
      </c>
      <c r="C197" s="4" t="s">
        <v>22</v>
      </c>
      <c r="D197" s="4">
        <v>7700071</v>
      </c>
      <c r="E197" s="20" t="str">
        <f t="shared" si="10"/>
        <v>7700071</v>
      </c>
      <c r="F197" s="20"/>
      <c r="G197" s="20"/>
      <c r="H197" s="35">
        <v>7700071</v>
      </c>
      <c r="I197" s="4" t="s">
        <v>11</v>
      </c>
      <c r="J197" s="4" t="s">
        <v>216</v>
      </c>
      <c r="K197" s="4" t="s">
        <v>459</v>
      </c>
      <c r="L197" s="35"/>
      <c r="M197" s="4"/>
      <c r="N197" s="4" t="s">
        <v>217</v>
      </c>
      <c r="O197" s="4" t="s">
        <v>14</v>
      </c>
      <c r="P197" s="4"/>
      <c r="Q197" s="4" t="s">
        <v>218</v>
      </c>
      <c r="R197" s="4">
        <v>10.5</v>
      </c>
      <c r="S197" s="4" t="s">
        <v>15</v>
      </c>
      <c r="T197" s="4"/>
      <c r="U197" s="4" t="s">
        <v>397</v>
      </c>
      <c r="V197" s="4" t="s">
        <v>597</v>
      </c>
    </row>
    <row r="198" spans="2:22" s="2" customFormat="1" ht="18" hidden="1" customHeight="1" x14ac:dyDescent="0.2">
      <c r="B198" s="8">
        <f t="shared" si="11"/>
        <v>181</v>
      </c>
      <c r="C198" s="4" t="s">
        <v>22</v>
      </c>
      <c r="D198" s="4">
        <v>7700072</v>
      </c>
      <c r="E198" s="20" t="str">
        <f t="shared" si="10"/>
        <v>7700072</v>
      </c>
      <c r="F198" s="20"/>
      <c r="G198" s="20"/>
      <c r="H198" s="35">
        <v>7700072</v>
      </c>
      <c r="I198" s="4" t="s">
        <v>11</v>
      </c>
      <c r="J198" s="4" t="s">
        <v>207</v>
      </c>
      <c r="K198" s="4" t="s">
        <v>457</v>
      </c>
      <c r="L198" s="35"/>
      <c r="M198" s="4"/>
      <c r="N198" s="4" t="s">
        <v>219</v>
      </c>
      <c r="O198" s="4" t="s">
        <v>14</v>
      </c>
      <c r="P198" s="4"/>
      <c r="Q198" s="4" t="s">
        <v>220</v>
      </c>
      <c r="R198" s="4">
        <v>3.8</v>
      </c>
      <c r="S198" s="4" t="s">
        <v>15</v>
      </c>
      <c r="T198" s="4"/>
      <c r="U198" s="4" t="s">
        <v>662</v>
      </c>
      <c r="V198" s="4" t="s">
        <v>661</v>
      </c>
    </row>
    <row r="199" spans="2:22" s="2" customFormat="1" ht="18" hidden="1" customHeight="1" x14ac:dyDescent="0.2">
      <c r="B199" s="8">
        <f t="shared" si="11"/>
        <v>182</v>
      </c>
      <c r="C199" s="4" t="s">
        <v>22</v>
      </c>
      <c r="D199" s="4">
        <v>7700364</v>
      </c>
      <c r="E199" s="20" t="str">
        <f t="shared" si="10"/>
        <v>7700364</v>
      </c>
      <c r="F199" s="20"/>
      <c r="G199" s="20"/>
      <c r="H199" s="35">
        <v>7700364</v>
      </c>
      <c r="I199" s="4" t="s">
        <v>11</v>
      </c>
      <c r="J199" s="4" t="s">
        <v>221</v>
      </c>
      <c r="K199" s="4" t="s">
        <v>460</v>
      </c>
      <c r="L199" s="35"/>
      <c r="M199" s="4"/>
      <c r="N199" s="4" t="s">
        <v>222</v>
      </c>
      <c r="O199" s="4" t="s">
        <v>14</v>
      </c>
      <c r="P199" s="4"/>
      <c r="Q199" s="4" t="s">
        <v>223</v>
      </c>
      <c r="R199" s="4">
        <v>9.75</v>
      </c>
      <c r="S199" s="4" t="s">
        <v>15</v>
      </c>
      <c r="T199" s="4"/>
      <c r="U199" s="4" t="s">
        <v>654</v>
      </c>
      <c r="V199" s="4" t="s">
        <v>653</v>
      </c>
    </row>
    <row r="200" spans="2:22" s="2" customFormat="1" ht="18" hidden="1" customHeight="1" x14ac:dyDescent="0.2">
      <c r="B200" s="8">
        <f t="shared" si="11"/>
        <v>183</v>
      </c>
      <c r="C200" s="4" t="s">
        <v>22</v>
      </c>
      <c r="D200" s="4">
        <v>7700425</v>
      </c>
      <c r="E200" s="20" t="str">
        <f t="shared" si="10"/>
        <v>7700425</v>
      </c>
      <c r="F200" s="20"/>
      <c r="G200" s="20"/>
      <c r="H200" s="35">
        <v>7700425</v>
      </c>
      <c r="I200" s="4" t="s">
        <v>11</v>
      </c>
      <c r="J200" s="4" t="s">
        <v>32</v>
      </c>
      <c r="K200" s="4" t="s">
        <v>413</v>
      </c>
      <c r="L200" s="35"/>
      <c r="M200" s="4"/>
      <c r="N200" s="4" t="s">
        <v>224</v>
      </c>
      <c r="O200" s="4" t="s">
        <v>14</v>
      </c>
      <c r="P200" s="4"/>
      <c r="Q200" s="4" t="s">
        <v>225</v>
      </c>
      <c r="R200" s="4">
        <v>4.5</v>
      </c>
      <c r="S200" s="4" t="s">
        <v>15</v>
      </c>
      <c r="T200" s="4"/>
      <c r="U200" s="4" t="s">
        <v>554</v>
      </c>
      <c r="V200" s="4" t="s">
        <v>597</v>
      </c>
    </row>
    <row r="201" spans="2:22" s="2" customFormat="1" ht="18" hidden="1" customHeight="1" x14ac:dyDescent="0.2">
      <c r="B201" s="8">
        <f t="shared" si="11"/>
        <v>184</v>
      </c>
      <c r="C201" s="4" t="s">
        <v>22</v>
      </c>
      <c r="D201" s="4">
        <v>7700426</v>
      </c>
      <c r="E201" s="20" t="str">
        <f t="shared" si="10"/>
        <v>7700426</v>
      </c>
      <c r="F201" s="20"/>
      <c r="G201" s="20"/>
      <c r="H201" s="35">
        <v>7700426</v>
      </c>
      <c r="I201" s="4" t="s">
        <v>11</v>
      </c>
      <c r="J201" s="4" t="s">
        <v>226</v>
      </c>
      <c r="K201" s="4" t="s">
        <v>461</v>
      </c>
      <c r="L201" s="35"/>
      <c r="M201" s="4"/>
      <c r="N201" s="4" t="s">
        <v>227</v>
      </c>
      <c r="O201" s="4" t="s">
        <v>14</v>
      </c>
      <c r="P201" s="4"/>
      <c r="Q201" s="4" t="s">
        <v>228</v>
      </c>
      <c r="R201" s="4">
        <v>5.9</v>
      </c>
      <c r="S201" s="4" t="s">
        <v>15</v>
      </c>
      <c r="T201" s="4"/>
      <c r="U201" s="4" t="s">
        <v>397</v>
      </c>
      <c r="V201" s="4" t="s">
        <v>653</v>
      </c>
    </row>
    <row r="202" spans="2:22" s="2" customFormat="1" ht="18" hidden="1" customHeight="1" x14ac:dyDescent="0.2">
      <c r="B202" s="13">
        <f t="shared" si="11"/>
        <v>185</v>
      </c>
      <c r="C202" s="3" t="s">
        <v>16</v>
      </c>
      <c r="D202" s="3">
        <v>170040410</v>
      </c>
      <c r="E202" s="20" t="str">
        <f t="shared" si="10"/>
        <v>170040410</v>
      </c>
      <c r="F202" s="20"/>
      <c r="G202" s="20"/>
      <c r="H202" s="35">
        <v>170040410</v>
      </c>
      <c r="I202" s="3" t="s">
        <v>11</v>
      </c>
      <c r="J202" s="3" t="s">
        <v>60</v>
      </c>
      <c r="K202" s="20" t="s">
        <v>422</v>
      </c>
      <c r="L202" s="35"/>
      <c r="M202" s="20"/>
      <c r="N202" s="3" t="s">
        <v>84</v>
      </c>
      <c r="O202" s="3" t="s">
        <v>14</v>
      </c>
      <c r="P202" s="3"/>
      <c r="Q202" s="3" t="s">
        <v>21</v>
      </c>
      <c r="R202" s="3">
        <v>1</v>
      </c>
      <c r="S202" s="3" t="s">
        <v>15</v>
      </c>
      <c r="T202" s="3"/>
      <c r="U202" s="3" t="s">
        <v>549</v>
      </c>
      <c r="V202" s="3" t="s">
        <v>550</v>
      </c>
    </row>
    <row r="203" spans="2:22" s="2" customFormat="1" ht="18" hidden="1" customHeight="1" x14ac:dyDescent="0.2">
      <c r="B203" s="13">
        <f t="shared" si="11"/>
        <v>186</v>
      </c>
      <c r="C203" s="3" t="s">
        <v>16</v>
      </c>
      <c r="D203" s="3">
        <v>170040420</v>
      </c>
      <c r="E203" s="20" t="str">
        <f t="shared" si="10"/>
        <v>170040420</v>
      </c>
      <c r="F203" s="20"/>
      <c r="G203" s="20"/>
      <c r="H203" s="35">
        <v>170040420</v>
      </c>
      <c r="I203" s="3" t="s">
        <v>11</v>
      </c>
      <c r="J203" s="3" t="s">
        <v>229</v>
      </c>
      <c r="K203" s="20" t="s">
        <v>425</v>
      </c>
      <c r="L203" s="35"/>
      <c r="M203" s="20"/>
      <c r="N203" s="3" t="s">
        <v>230</v>
      </c>
      <c r="O203" s="3" t="s">
        <v>14</v>
      </c>
      <c r="P203" s="3"/>
      <c r="Q203" s="3" t="s">
        <v>21</v>
      </c>
      <c r="R203" s="3">
        <v>1</v>
      </c>
      <c r="S203" s="3" t="s">
        <v>15</v>
      </c>
      <c r="T203" s="3"/>
      <c r="U203" s="3" t="s">
        <v>362</v>
      </c>
      <c r="V203" s="3" t="s">
        <v>666</v>
      </c>
    </row>
    <row r="204" spans="2:22" s="2" customFormat="1" ht="18" hidden="1" customHeight="1" x14ac:dyDescent="0.2">
      <c r="B204" s="13">
        <f t="shared" si="11"/>
        <v>187</v>
      </c>
      <c r="C204" s="3" t="s">
        <v>16</v>
      </c>
      <c r="D204" s="3">
        <v>170040430</v>
      </c>
      <c r="E204" s="20" t="str">
        <f t="shared" si="10"/>
        <v>170040430</v>
      </c>
      <c r="F204" s="20"/>
      <c r="G204" s="20"/>
      <c r="H204" s="35">
        <v>170040430</v>
      </c>
      <c r="I204" s="3" t="s">
        <v>11</v>
      </c>
      <c r="J204" s="3" t="s">
        <v>98</v>
      </c>
      <c r="K204" s="20" t="s">
        <v>462</v>
      </c>
      <c r="L204" s="35"/>
      <c r="M204" s="20"/>
      <c r="N204" s="3" t="s">
        <v>230</v>
      </c>
      <c r="O204" s="3" t="s">
        <v>14</v>
      </c>
      <c r="P204" s="3"/>
      <c r="Q204" s="3" t="s">
        <v>21</v>
      </c>
      <c r="R204" s="3">
        <v>1</v>
      </c>
      <c r="S204" s="3" t="s">
        <v>15</v>
      </c>
      <c r="T204" s="3"/>
      <c r="U204" s="3" t="s">
        <v>657</v>
      </c>
      <c r="V204" s="3" t="s">
        <v>667</v>
      </c>
    </row>
    <row r="205" spans="2:22" s="2" customFormat="1" ht="18" hidden="1" customHeight="1" x14ac:dyDescent="0.2">
      <c r="B205" s="13">
        <f t="shared" si="11"/>
        <v>188</v>
      </c>
      <c r="C205" s="3" t="s">
        <v>16</v>
      </c>
      <c r="D205" s="3">
        <v>170040440</v>
      </c>
      <c r="E205" s="20" t="str">
        <f t="shared" si="10"/>
        <v>170040440</v>
      </c>
      <c r="F205" s="20"/>
      <c r="G205" s="20"/>
      <c r="H205" s="35">
        <v>170040440</v>
      </c>
      <c r="I205" s="3" t="s">
        <v>11</v>
      </c>
      <c r="J205" s="3" t="s">
        <v>29</v>
      </c>
      <c r="K205" s="20" t="s">
        <v>412</v>
      </c>
      <c r="L205" s="35"/>
      <c r="M205" s="20"/>
      <c r="N205" s="3" t="s">
        <v>84</v>
      </c>
      <c r="O205" s="3" t="s">
        <v>14</v>
      </c>
      <c r="P205" s="3"/>
      <c r="Q205" s="3" t="s">
        <v>21</v>
      </c>
      <c r="R205" s="3">
        <v>1</v>
      </c>
      <c r="S205" s="3" t="s">
        <v>15</v>
      </c>
      <c r="T205" s="3"/>
      <c r="U205" s="3" t="s">
        <v>603</v>
      </c>
      <c r="V205" s="3" t="s">
        <v>550</v>
      </c>
    </row>
    <row r="206" spans="2:22" s="2" customFormat="1" ht="18" hidden="1" customHeight="1" x14ac:dyDescent="0.2">
      <c r="B206" s="13">
        <f t="shared" si="11"/>
        <v>189</v>
      </c>
      <c r="C206" s="3" t="s">
        <v>16</v>
      </c>
      <c r="D206" s="3">
        <v>170040450</v>
      </c>
      <c r="E206" s="20" t="str">
        <f t="shared" ref="E206:E269" si="12">TRIM(D206)</f>
        <v>170040450</v>
      </c>
      <c r="F206" s="20"/>
      <c r="G206" s="20"/>
      <c r="H206" s="35">
        <v>170040450</v>
      </c>
      <c r="I206" s="3" t="s">
        <v>11</v>
      </c>
      <c r="J206" s="3" t="s">
        <v>60</v>
      </c>
      <c r="K206" s="20" t="s">
        <v>422</v>
      </c>
      <c r="L206" s="35"/>
      <c r="M206" s="20"/>
      <c r="N206" s="3" t="s">
        <v>84</v>
      </c>
      <c r="O206" s="3" t="s">
        <v>14</v>
      </c>
      <c r="P206" s="3"/>
      <c r="Q206" s="3" t="s">
        <v>21</v>
      </c>
      <c r="R206" s="3">
        <v>1</v>
      </c>
      <c r="S206" s="3" t="s">
        <v>15</v>
      </c>
      <c r="T206" s="3"/>
      <c r="U206" s="3" t="s">
        <v>603</v>
      </c>
      <c r="V206" s="3" t="s">
        <v>666</v>
      </c>
    </row>
    <row r="207" spans="2:22" s="2" customFormat="1" ht="18" hidden="1" customHeight="1" x14ac:dyDescent="0.2">
      <c r="B207" s="13">
        <f t="shared" si="11"/>
        <v>190</v>
      </c>
      <c r="C207" s="3" t="s">
        <v>16</v>
      </c>
      <c r="D207" s="3">
        <v>170040470</v>
      </c>
      <c r="E207" s="20" t="str">
        <f t="shared" si="12"/>
        <v>170040470</v>
      </c>
      <c r="F207" s="20"/>
      <c r="G207" s="20"/>
      <c r="H207" s="35">
        <v>170040470</v>
      </c>
      <c r="I207" s="3" t="s">
        <v>11</v>
      </c>
      <c r="J207" s="3" t="s">
        <v>29</v>
      </c>
      <c r="K207" s="20" t="s">
        <v>412</v>
      </c>
      <c r="L207" s="35"/>
      <c r="M207" s="20"/>
      <c r="N207" s="3" t="s">
        <v>84</v>
      </c>
      <c r="O207" s="3" t="s">
        <v>14</v>
      </c>
      <c r="P207" s="3"/>
      <c r="Q207" s="3" t="s">
        <v>21</v>
      </c>
      <c r="R207" s="3">
        <v>1</v>
      </c>
      <c r="S207" s="3" t="s">
        <v>15</v>
      </c>
      <c r="T207" s="3"/>
      <c r="U207" s="3" t="s">
        <v>549</v>
      </c>
      <c r="V207" s="3" t="s">
        <v>666</v>
      </c>
    </row>
    <row r="208" spans="2:22" s="2" customFormat="1" ht="18" hidden="1" customHeight="1" x14ac:dyDescent="0.2">
      <c r="B208" s="13">
        <f t="shared" si="11"/>
        <v>191</v>
      </c>
      <c r="C208" s="3" t="s">
        <v>16</v>
      </c>
      <c r="D208" s="3">
        <v>170040480</v>
      </c>
      <c r="E208" s="20" t="str">
        <f t="shared" si="12"/>
        <v>170040480</v>
      </c>
      <c r="F208" s="20"/>
      <c r="G208" s="20"/>
      <c r="H208" s="35">
        <v>170040480</v>
      </c>
      <c r="I208" s="3" t="s">
        <v>11</v>
      </c>
      <c r="J208" s="3" t="s">
        <v>60</v>
      </c>
      <c r="K208" s="20" t="s">
        <v>422</v>
      </c>
      <c r="L208" s="35"/>
      <c r="M208" s="20"/>
      <c r="N208" s="3" t="s">
        <v>84</v>
      </c>
      <c r="O208" s="3" t="s">
        <v>14</v>
      </c>
      <c r="P208" s="3"/>
      <c r="Q208" s="3" t="s">
        <v>18</v>
      </c>
      <c r="R208" s="3">
        <v>2</v>
      </c>
      <c r="S208" s="3" t="s">
        <v>15</v>
      </c>
      <c r="T208" s="3"/>
      <c r="U208" s="3" t="s">
        <v>549</v>
      </c>
      <c r="V208" s="3" t="s">
        <v>667</v>
      </c>
    </row>
    <row r="209" spans="2:22" s="2" customFormat="1" ht="18" hidden="1" customHeight="1" x14ac:dyDescent="0.2">
      <c r="B209" s="13">
        <f t="shared" si="11"/>
        <v>192</v>
      </c>
      <c r="C209" s="3" t="s">
        <v>16</v>
      </c>
      <c r="D209" s="3">
        <v>170040490</v>
      </c>
      <c r="E209" s="20" t="str">
        <f t="shared" si="12"/>
        <v>170040490</v>
      </c>
      <c r="F209" s="20"/>
      <c r="G209" s="20"/>
      <c r="H209" s="35">
        <v>170040490</v>
      </c>
      <c r="I209" s="3" t="s">
        <v>11</v>
      </c>
      <c r="J209" s="3" t="s">
        <v>60</v>
      </c>
      <c r="K209" s="20" t="s">
        <v>422</v>
      </c>
      <c r="L209" s="35"/>
      <c r="M209" s="20"/>
      <c r="N209" s="3" t="s">
        <v>84</v>
      </c>
      <c r="O209" s="3" t="s">
        <v>14</v>
      </c>
      <c r="P209" s="3"/>
      <c r="Q209" s="3" t="s">
        <v>18</v>
      </c>
      <c r="R209" s="3">
        <v>2</v>
      </c>
      <c r="S209" s="3" t="s">
        <v>15</v>
      </c>
      <c r="T209" s="3"/>
      <c r="U209" s="3" t="s">
        <v>668</v>
      </c>
      <c r="V209" s="3" t="s">
        <v>550</v>
      </c>
    </row>
    <row r="210" spans="2:22" s="2" customFormat="1" ht="18" hidden="1" customHeight="1" x14ac:dyDescent="0.2">
      <c r="B210" s="13">
        <f t="shared" si="11"/>
        <v>193</v>
      </c>
      <c r="C210" s="3" t="s">
        <v>16</v>
      </c>
      <c r="D210" s="3">
        <v>170040500</v>
      </c>
      <c r="E210" s="20" t="str">
        <f t="shared" si="12"/>
        <v>170040500</v>
      </c>
      <c r="F210" s="20"/>
      <c r="G210" s="20"/>
      <c r="H210" s="35">
        <v>170040500</v>
      </c>
      <c r="I210" s="3" t="s">
        <v>11</v>
      </c>
      <c r="J210" s="3" t="s">
        <v>60</v>
      </c>
      <c r="K210" s="20" t="s">
        <v>422</v>
      </c>
      <c r="L210" s="35"/>
      <c r="M210" s="20"/>
      <c r="N210" s="3" t="s">
        <v>84</v>
      </c>
      <c r="O210" s="3" t="s">
        <v>14</v>
      </c>
      <c r="P210" s="3"/>
      <c r="Q210" s="3" t="s">
        <v>18</v>
      </c>
      <c r="R210" s="3">
        <v>2</v>
      </c>
      <c r="S210" s="3" t="s">
        <v>15</v>
      </c>
      <c r="T210" s="3"/>
      <c r="U210" s="3" t="s">
        <v>657</v>
      </c>
      <c r="V210" s="3" t="s">
        <v>667</v>
      </c>
    </row>
    <row r="211" spans="2:22" s="2" customFormat="1" ht="18" hidden="1" customHeight="1" x14ac:dyDescent="0.2">
      <c r="B211" s="13">
        <f t="shared" si="11"/>
        <v>194</v>
      </c>
      <c r="C211" s="3" t="s">
        <v>16</v>
      </c>
      <c r="D211" s="3">
        <v>170088640</v>
      </c>
      <c r="E211" s="20" t="str">
        <f t="shared" si="12"/>
        <v>170088640</v>
      </c>
      <c r="F211" s="20"/>
      <c r="G211" s="20"/>
      <c r="H211" s="35">
        <v>170088640</v>
      </c>
      <c r="I211" s="3" t="s">
        <v>11</v>
      </c>
      <c r="J211" s="3" t="s">
        <v>23</v>
      </c>
      <c r="K211" s="20" t="s">
        <v>410</v>
      </c>
      <c r="L211" s="35"/>
      <c r="M211" s="20"/>
      <c r="N211" s="3" t="s">
        <v>231</v>
      </c>
      <c r="O211" s="3" t="s">
        <v>14</v>
      </c>
      <c r="P211" s="3"/>
      <c r="Q211" s="3" t="s">
        <v>21</v>
      </c>
      <c r="R211" s="3">
        <v>1</v>
      </c>
      <c r="S211" s="3" t="s">
        <v>15</v>
      </c>
      <c r="T211" s="3"/>
      <c r="U211" s="3" t="s">
        <v>657</v>
      </c>
      <c r="V211" s="3" t="s">
        <v>666</v>
      </c>
    </row>
    <row r="212" spans="2:22" s="2" customFormat="1" ht="18" customHeight="1" x14ac:dyDescent="0.2">
      <c r="B212" s="19">
        <f t="shared" si="11"/>
        <v>195</v>
      </c>
      <c r="C212" s="18" t="s">
        <v>16</v>
      </c>
      <c r="D212" s="18">
        <v>170088650</v>
      </c>
      <c r="E212" s="18" t="str">
        <f t="shared" si="12"/>
        <v>170088650</v>
      </c>
      <c r="F212" s="18"/>
      <c r="G212" s="18"/>
      <c r="H212" s="35">
        <v>170088650</v>
      </c>
      <c r="I212" s="18" t="s">
        <v>11</v>
      </c>
      <c r="J212" s="18" t="s">
        <v>232</v>
      </c>
      <c r="K212" s="18" t="s">
        <v>445</v>
      </c>
      <c r="L212" s="35" t="s">
        <v>590</v>
      </c>
      <c r="M212" s="18" t="s">
        <v>669</v>
      </c>
      <c r="N212" s="18" t="s">
        <v>233</v>
      </c>
      <c r="O212" s="18" t="s">
        <v>14</v>
      </c>
      <c r="P212" s="18"/>
      <c r="Q212" s="18" t="s">
        <v>21</v>
      </c>
      <c r="R212" s="18">
        <v>1</v>
      </c>
      <c r="S212" s="18" t="s">
        <v>38</v>
      </c>
      <c r="T212" s="18"/>
      <c r="U212" s="18" t="s">
        <v>657</v>
      </c>
      <c r="V212" s="18" t="s">
        <v>666</v>
      </c>
    </row>
    <row r="213" spans="2:22" s="2" customFormat="1" ht="18" hidden="1" customHeight="1" x14ac:dyDescent="0.2">
      <c r="B213" s="13">
        <f t="shared" ref="B213:B276" si="13">B212+1</f>
        <v>196</v>
      </c>
      <c r="C213" s="3" t="s">
        <v>16</v>
      </c>
      <c r="D213" s="3">
        <v>170088660</v>
      </c>
      <c r="E213" s="20" t="str">
        <f t="shared" si="12"/>
        <v>170088660</v>
      </c>
      <c r="F213" s="20"/>
      <c r="G213" s="20"/>
      <c r="H213" s="35">
        <v>170088660</v>
      </c>
      <c r="I213" s="3" t="s">
        <v>11</v>
      </c>
      <c r="J213" s="3" t="s">
        <v>234</v>
      </c>
      <c r="K213" s="20" t="s">
        <v>463</v>
      </c>
      <c r="L213" s="35"/>
      <c r="M213" s="20"/>
      <c r="N213" s="3" t="s">
        <v>235</v>
      </c>
      <c r="O213" s="3" t="s">
        <v>14</v>
      </c>
      <c r="P213" s="3"/>
      <c r="Q213" s="3" t="s">
        <v>21</v>
      </c>
      <c r="R213" s="3">
        <v>1</v>
      </c>
      <c r="S213" s="3" t="s">
        <v>15</v>
      </c>
      <c r="T213" s="3"/>
      <c r="U213" s="3" t="s">
        <v>657</v>
      </c>
      <c r="V213" s="3" t="s">
        <v>666</v>
      </c>
    </row>
    <row r="214" spans="2:22" s="2" customFormat="1" ht="18" hidden="1" customHeight="1" x14ac:dyDescent="0.2">
      <c r="B214" s="13">
        <f t="shared" si="13"/>
        <v>197</v>
      </c>
      <c r="C214" s="3" t="s">
        <v>16</v>
      </c>
      <c r="D214" s="3">
        <v>170116040</v>
      </c>
      <c r="E214" s="20" t="str">
        <f t="shared" si="12"/>
        <v>170116040</v>
      </c>
      <c r="F214" s="20"/>
      <c r="G214" s="20"/>
      <c r="H214" s="35">
        <v>170116040</v>
      </c>
      <c r="I214" s="3" t="s">
        <v>11</v>
      </c>
      <c r="J214" s="3" t="s">
        <v>23</v>
      </c>
      <c r="K214" s="20" t="s">
        <v>410</v>
      </c>
      <c r="L214" s="35"/>
      <c r="M214" s="20"/>
      <c r="N214" s="3" t="s">
        <v>236</v>
      </c>
      <c r="O214" s="3" t="s">
        <v>14</v>
      </c>
      <c r="P214" s="3"/>
      <c r="Q214" s="3" t="s">
        <v>18</v>
      </c>
      <c r="R214" s="3">
        <v>2</v>
      </c>
      <c r="S214" s="3" t="s">
        <v>15</v>
      </c>
      <c r="T214" s="3"/>
      <c r="U214" s="3" t="s">
        <v>657</v>
      </c>
      <c r="V214" s="3" t="s">
        <v>670</v>
      </c>
    </row>
    <row r="215" spans="2:22" s="2" customFormat="1" ht="18" hidden="1" customHeight="1" x14ac:dyDescent="0.2">
      <c r="B215" s="13">
        <f t="shared" si="13"/>
        <v>198</v>
      </c>
      <c r="C215" s="3" t="s">
        <v>16</v>
      </c>
      <c r="D215" s="3">
        <v>170152477</v>
      </c>
      <c r="E215" s="20" t="str">
        <f t="shared" si="12"/>
        <v>170152477</v>
      </c>
      <c r="F215" s="20"/>
      <c r="G215" s="20"/>
      <c r="H215" s="35">
        <v>170152477</v>
      </c>
      <c r="I215" s="3" t="s">
        <v>11</v>
      </c>
      <c r="J215" s="3" t="s">
        <v>237</v>
      </c>
      <c r="K215" s="20" t="s">
        <v>464</v>
      </c>
      <c r="L215" s="35"/>
      <c r="M215" s="20"/>
      <c r="N215" s="3" t="s">
        <v>238</v>
      </c>
      <c r="O215" s="3" t="s">
        <v>14</v>
      </c>
      <c r="P215" s="3"/>
      <c r="Q215" s="3" t="s">
        <v>21</v>
      </c>
      <c r="R215" s="3">
        <v>1</v>
      </c>
      <c r="S215" s="3" t="s">
        <v>38</v>
      </c>
      <c r="T215" s="3"/>
      <c r="U215" s="3" t="s">
        <v>657</v>
      </c>
      <c r="V215" s="3" t="s">
        <v>344</v>
      </c>
    </row>
    <row r="216" spans="2:22" s="2" customFormat="1" ht="18" hidden="1" customHeight="1" x14ac:dyDescent="0.2">
      <c r="B216" s="13">
        <f t="shared" si="13"/>
        <v>199</v>
      </c>
      <c r="C216" s="3" t="s">
        <v>16</v>
      </c>
      <c r="D216" s="3">
        <v>170155415</v>
      </c>
      <c r="E216" s="20" t="str">
        <f t="shared" si="12"/>
        <v>170155415</v>
      </c>
      <c r="F216" s="20"/>
      <c r="G216" s="20"/>
      <c r="H216" s="35">
        <v>170155415</v>
      </c>
      <c r="I216" s="3" t="s">
        <v>11</v>
      </c>
      <c r="J216" s="3" t="s">
        <v>23</v>
      </c>
      <c r="K216" s="20" t="s">
        <v>410</v>
      </c>
      <c r="L216" s="35"/>
      <c r="M216" s="20"/>
      <c r="N216" s="3" t="s">
        <v>239</v>
      </c>
      <c r="O216" s="3" t="s">
        <v>14</v>
      </c>
      <c r="P216" s="3"/>
      <c r="Q216" s="3" t="s">
        <v>200</v>
      </c>
      <c r="R216" s="3">
        <v>6</v>
      </c>
      <c r="S216" s="3" t="s">
        <v>15</v>
      </c>
      <c r="T216" s="3"/>
      <c r="U216" s="3" t="s">
        <v>657</v>
      </c>
      <c r="V216" s="3" t="s">
        <v>344</v>
      </c>
    </row>
    <row r="217" spans="2:22" s="2" customFormat="1" ht="18" hidden="1" customHeight="1" x14ac:dyDescent="0.2">
      <c r="B217" s="13">
        <f t="shared" si="13"/>
        <v>200</v>
      </c>
      <c r="C217" s="3" t="s">
        <v>16</v>
      </c>
      <c r="D217" s="3">
        <v>170159378</v>
      </c>
      <c r="E217" s="20" t="str">
        <f t="shared" si="12"/>
        <v>170159378</v>
      </c>
      <c r="F217" s="20"/>
      <c r="G217" s="20"/>
      <c r="H217" s="35">
        <v>170159378</v>
      </c>
      <c r="I217" s="3" t="s">
        <v>11</v>
      </c>
      <c r="J217" s="3" t="s">
        <v>23</v>
      </c>
      <c r="K217" s="20" t="s">
        <v>410</v>
      </c>
      <c r="L217" s="35"/>
      <c r="M217" s="20"/>
      <c r="N217" s="3" t="s">
        <v>240</v>
      </c>
      <c r="O217" s="3" t="s">
        <v>14</v>
      </c>
      <c r="P217" s="3"/>
      <c r="Q217" s="3" t="s">
        <v>21</v>
      </c>
      <c r="R217" s="3">
        <v>1</v>
      </c>
      <c r="S217" s="3" t="s">
        <v>15</v>
      </c>
      <c r="T217" s="3"/>
      <c r="U217" s="3" t="s">
        <v>657</v>
      </c>
      <c r="V217" s="3" t="s">
        <v>666</v>
      </c>
    </row>
    <row r="218" spans="2:22" s="2" customFormat="1" ht="18" hidden="1" customHeight="1" x14ac:dyDescent="0.2">
      <c r="B218" s="13">
        <f t="shared" si="13"/>
        <v>201</v>
      </c>
      <c r="C218" s="3" t="s">
        <v>16</v>
      </c>
      <c r="D218" s="3">
        <v>170168368</v>
      </c>
      <c r="E218" s="20" t="str">
        <f t="shared" si="12"/>
        <v>170168368</v>
      </c>
      <c r="F218" s="20"/>
      <c r="G218" s="20"/>
      <c r="H218" s="35">
        <v>170168368</v>
      </c>
      <c r="I218" s="3" t="s">
        <v>11</v>
      </c>
      <c r="J218" s="3" t="s">
        <v>23</v>
      </c>
      <c r="K218" s="20" t="s">
        <v>410</v>
      </c>
      <c r="L218" s="35"/>
      <c r="M218" s="20"/>
      <c r="N218" s="3" t="s">
        <v>241</v>
      </c>
      <c r="O218" s="3" t="s">
        <v>14</v>
      </c>
      <c r="P218" s="3"/>
      <c r="Q218" s="3" t="s">
        <v>21</v>
      </c>
      <c r="R218" s="3">
        <v>1</v>
      </c>
      <c r="S218" s="3" t="s">
        <v>15</v>
      </c>
      <c r="T218" s="3"/>
      <c r="U218" s="3" t="s">
        <v>603</v>
      </c>
      <c r="V218" s="3" t="s">
        <v>666</v>
      </c>
    </row>
    <row r="219" spans="2:22" s="2" customFormat="1" ht="18" hidden="1" customHeight="1" x14ac:dyDescent="0.2">
      <c r="B219" s="13">
        <f t="shared" si="13"/>
        <v>202</v>
      </c>
      <c r="C219" s="3" t="s">
        <v>16</v>
      </c>
      <c r="D219" s="3">
        <v>170174646</v>
      </c>
      <c r="E219" s="20" t="str">
        <f t="shared" si="12"/>
        <v>170174646</v>
      </c>
      <c r="F219" s="20"/>
      <c r="G219" s="20"/>
      <c r="H219" s="35">
        <v>170174646</v>
      </c>
      <c r="I219" s="3" t="s">
        <v>11</v>
      </c>
      <c r="J219" s="3" t="s">
        <v>23</v>
      </c>
      <c r="K219" s="20" t="s">
        <v>410</v>
      </c>
      <c r="L219" s="35"/>
      <c r="M219" s="20"/>
      <c r="N219" s="3" t="s">
        <v>242</v>
      </c>
      <c r="O219" s="3" t="s">
        <v>14</v>
      </c>
      <c r="P219" s="3"/>
      <c r="Q219" s="3" t="s">
        <v>21</v>
      </c>
      <c r="R219" s="3">
        <v>1</v>
      </c>
      <c r="S219" s="3" t="s">
        <v>15</v>
      </c>
      <c r="T219" s="3"/>
      <c r="U219" s="3" t="s">
        <v>657</v>
      </c>
      <c r="V219" s="3" t="s">
        <v>666</v>
      </c>
    </row>
    <row r="220" spans="2:22" s="2" customFormat="1" ht="18" hidden="1" customHeight="1" x14ac:dyDescent="0.2">
      <c r="B220" s="13">
        <f t="shared" si="13"/>
        <v>203</v>
      </c>
      <c r="C220" s="3" t="s">
        <v>16</v>
      </c>
      <c r="D220" s="3">
        <v>170176252</v>
      </c>
      <c r="E220" s="20" t="str">
        <f t="shared" si="12"/>
        <v>170176252</v>
      </c>
      <c r="F220" s="20"/>
      <c r="G220" s="20"/>
      <c r="H220" s="35">
        <v>170176252</v>
      </c>
      <c r="I220" s="3" t="s">
        <v>11</v>
      </c>
      <c r="J220" s="3" t="s">
        <v>243</v>
      </c>
      <c r="K220" s="20" t="s">
        <v>465</v>
      </c>
      <c r="L220" s="35"/>
      <c r="M220" s="20"/>
      <c r="N220" s="3" t="s">
        <v>244</v>
      </c>
      <c r="O220" s="3" t="s">
        <v>14</v>
      </c>
      <c r="P220" s="3"/>
      <c r="Q220" s="3" t="s">
        <v>21</v>
      </c>
      <c r="R220" s="3">
        <v>1</v>
      </c>
      <c r="S220" s="3" t="s">
        <v>15</v>
      </c>
      <c r="T220" s="3"/>
      <c r="U220" s="3" t="s">
        <v>393</v>
      </c>
      <c r="V220" s="3" t="s">
        <v>671</v>
      </c>
    </row>
    <row r="221" spans="2:22" s="2" customFormat="1" ht="18" hidden="1" customHeight="1" x14ac:dyDescent="0.2">
      <c r="B221" s="15">
        <f t="shared" si="13"/>
        <v>204</v>
      </c>
      <c r="C221" s="11" t="s">
        <v>16</v>
      </c>
      <c r="D221" s="11">
        <v>190005705</v>
      </c>
      <c r="E221" s="20" t="str">
        <f t="shared" si="12"/>
        <v>190005705</v>
      </c>
      <c r="F221" s="20"/>
      <c r="G221" s="20"/>
      <c r="H221" s="35">
        <v>190005705</v>
      </c>
      <c r="I221" s="11" t="s">
        <v>11</v>
      </c>
      <c r="J221" s="11" t="s">
        <v>245</v>
      </c>
      <c r="K221" s="11" t="s">
        <v>466</v>
      </c>
      <c r="L221" s="35"/>
      <c r="M221" s="11"/>
      <c r="N221" s="11" t="s">
        <v>246</v>
      </c>
      <c r="O221" s="11" t="s">
        <v>14</v>
      </c>
      <c r="P221" s="11"/>
      <c r="Q221" s="11" t="s">
        <v>21</v>
      </c>
      <c r="R221" s="11">
        <v>1</v>
      </c>
      <c r="S221" s="11" t="s">
        <v>15</v>
      </c>
      <c r="T221" s="11"/>
      <c r="U221" s="11" t="s">
        <v>672</v>
      </c>
      <c r="V221" s="11" t="s">
        <v>672</v>
      </c>
    </row>
    <row r="222" spans="2:22" s="2" customFormat="1" ht="18" hidden="1" customHeight="1" x14ac:dyDescent="0.2">
      <c r="B222" s="13">
        <f t="shared" si="13"/>
        <v>205</v>
      </c>
      <c r="C222" s="3" t="s">
        <v>22</v>
      </c>
      <c r="D222" s="3">
        <v>340001808</v>
      </c>
      <c r="E222" s="20" t="str">
        <f t="shared" si="12"/>
        <v>340001808</v>
      </c>
      <c r="F222" s="20"/>
      <c r="G222" s="20"/>
      <c r="H222" s="35">
        <v>340001808</v>
      </c>
      <c r="I222" s="3" t="s">
        <v>11</v>
      </c>
      <c r="J222" s="3" t="s">
        <v>60</v>
      </c>
      <c r="K222" s="20" t="s">
        <v>422</v>
      </c>
      <c r="L222" s="35"/>
      <c r="M222" s="20"/>
      <c r="N222" s="3" t="s">
        <v>247</v>
      </c>
      <c r="O222" s="3" t="s">
        <v>127</v>
      </c>
      <c r="P222" s="3"/>
      <c r="Q222" s="3" t="s">
        <v>21</v>
      </c>
      <c r="R222" s="3">
        <v>1</v>
      </c>
      <c r="S222" s="3" t="s">
        <v>15</v>
      </c>
      <c r="T222" s="3"/>
      <c r="U222" s="3" t="s">
        <v>551</v>
      </c>
      <c r="V222" s="3" t="s">
        <v>568</v>
      </c>
    </row>
    <row r="223" spans="2:22" s="2" customFormat="1" ht="18" hidden="1" customHeight="1" x14ac:dyDescent="0.2">
      <c r="B223" s="13">
        <f t="shared" si="13"/>
        <v>206</v>
      </c>
      <c r="C223" s="3" t="s">
        <v>22</v>
      </c>
      <c r="D223" s="3">
        <v>7500022</v>
      </c>
      <c r="E223" s="20" t="str">
        <f t="shared" si="12"/>
        <v>7500022</v>
      </c>
      <c r="F223" s="20"/>
      <c r="G223" s="20"/>
      <c r="H223" s="35">
        <v>7500022</v>
      </c>
      <c r="I223" s="3" t="s">
        <v>11</v>
      </c>
      <c r="J223" s="3" t="s">
        <v>248</v>
      </c>
      <c r="K223" s="20" t="s">
        <v>467</v>
      </c>
      <c r="L223" s="35"/>
      <c r="M223" s="20"/>
      <c r="N223" s="3" t="s">
        <v>249</v>
      </c>
      <c r="O223" s="3" t="s">
        <v>68</v>
      </c>
      <c r="P223" s="3"/>
      <c r="Q223" s="3" t="s">
        <v>25</v>
      </c>
      <c r="R223" s="3">
        <v>0</v>
      </c>
      <c r="S223" s="3" t="s">
        <v>15</v>
      </c>
      <c r="T223" s="3"/>
      <c r="U223" s="3" t="s">
        <v>551</v>
      </c>
      <c r="V223" s="3" t="s">
        <v>568</v>
      </c>
    </row>
    <row r="224" spans="2:22" s="2" customFormat="1" ht="18" hidden="1" customHeight="1" x14ac:dyDescent="0.2">
      <c r="B224" s="13">
        <f t="shared" si="13"/>
        <v>207</v>
      </c>
      <c r="C224" s="3" t="s">
        <v>22</v>
      </c>
      <c r="D224" s="3">
        <v>7500024</v>
      </c>
      <c r="E224" s="20" t="str">
        <f t="shared" si="12"/>
        <v>7500024</v>
      </c>
      <c r="F224" s="20"/>
      <c r="G224" s="20"/>
      <c r="H224" s="35">
        <v>7500024</v>
      </c>
      <c r="I224" s="3" t="s">
        <v>11</v>
      </c>
      <c r="J224" s="3" t="s">
        <v>250</v>
      </c>
      <c r="K224" s="20" t="s">
        <v>468</v>
      </c>
      <c r="L224" s="35"/>
      <c r="M224" s="20"/>
      <c r="N224" s="3" t="s">
        <v>251</v>
      </c>
      <c r="O224" s="3" t="s">
        <v>70</v>
      </c>
      <c r="P224" s="3"/>
      <c r="Q224" s="3" t="s">
        <v>25</v>
      </c>
      <c r="R224" s="3">
        <v>0</v>
      </c>
      <c r="S224" s="3" t="s">
        <v>15</v>
      </c>
      <c r="T224" s="3"/>
      <c r="U224" s="3" t="s">
        <v>551</v>
      </c>
      <c r="V224" s="3" t="s">
        <v>551</v>
      </c>
    </row>
    <row r="225" spans="2:22" s="2" customFormat="1" ht="18" hidden="1" customHeight="1" x14ac:dyDescent="0.2">
      <c r="B225" s="8">
        <f t="shared" si="13"/>
        <v>208</v>
      </c>
      <c r="C225" s="4" t="s">
        <v>22</v>
      </c>
      <c r="D225" s="4">
        <v>860005057</v>
      </c>
      <c r="E225" s="20" t="str">
        <f t="shared" si="12"/>
        <v>860005057</v>
      </c>
      <c r="F225" s="20"/>
      <c r="G225" s="20"/>
      <c r="H225" s="35">
        <v>860005057</v>
      </c>
      <c r="I225" s="4" t="s">
        <v>11</v>
      </c>
      <c r="J225" s="4" t="s">
        <v>159</v>
      </c>
      <c r="K225" s="4" t="s">
        <v>447</v>
      </c>
      <c r="L225" s="35"/>
      <c r="M225" s="4"/>
      <c r="N225" s="4" t="s">
        <v>252</v>
      </c>
      <c r="O225" s="4" t="s">
        <v>83</v>
      </c>
      <c r="P225" s="4"/>
      <c r="Q225" s="4" t="s">
        <v>25</v>
      </c>
      <c r="R225" s="4">
        <v>0</v>
      </c>
      <c r="S225" s="4" t="s">
        <v>15</v>
      </c>
      <c r="T225" s="4"/>
      <c r="U225" s="4" t="s">
        <v>352</v>
      </c>
      <c r="V225" s="4" t="s">
        <v>352</v>
      </c>
    </row>
    <row r="226" spans="2:22" s="2" customFormat="1" ht="18" hidden="1" customHeight="1" x14ac:dyDescent="0.2">
      <c r="B226" s="8">
        <f t="shared" si="13"/>
        <v>209</v>
      </c>
      <c r="C226" s="4" t="s">
        <v>22</v>
      </c>
      <c r="D226" s="4">
        <v>8600780</v>
      </c>
      <c r="E226" s="20" t="str">
        <f t="shared" si="12"/>
        <v>8600780</v>
      </c>
      <c r="F226" s="20"/>
      <c r="G226" s="20"/>
      <c r="H226" s="35">
        <v>8600780</v>
      </c>
      <c r="I226" s="4" t="s">
        <v>11</v>
      </c>
      <c r="J226" s="4" t="s">
        <v>155</v>
      </c>
      <c r="K226" s="4" t="s">
        <v>446</v>
      </c>
      <c r="L226" s="35"/>
      <c r="M226" s="4"/>
      <c r="N226" s="4" t="s">
        <v>156</v>
      </c>
      <c r="O226" s="4" t="s">
        <v>106</v>
      </c>
      <c r="P226" s="4"/>
      <c r="Q226" s="4" t="s">
        <v>25</v>
      </c>
      <c r="R226" s="4">
        <v>0</v>
      </c>
      <c r="S226" s="4" t="s">
        <v>38</v>
      </c>
      <c r="T226" s="4"/>
      <c r="U226" s="4" t="s">
        <v>352</v>
      </c>
      <c r="V226" s="4" t="s">
        <v>352</v>
      </c>
    </row>
    <row r="227" spans="2:22" s="2" customFormat="1" ht="18" hidden="1" customHeight="1" x14ac:dyDescent="0.2">
      <c r="B227" s="8">
        <f t="shared" si="13"/>
        <v>210</v>
      </c>
      <c r="C227" s="4" t="s">
        <v>22</v>
      </c>
      <c r="D227" s="4">
        <v>8800222</v>
      </c>
      <c r="E227" s="20" t="str">
        <f t="shared" si="12"/>
        <v>8800222</v>
      </c>
      <c r="F227" s="20"/>
      <c r="G227" s="20"/>
      <c r="H227" s="35">
        <v>8800222</v>
      </c>
      <c r="I227" s="4" t="s">
        <v>11</v>
      </c>
      <c r="J227" s="4" t="s">
        <v>176</v>
      </c>
      <c r="K227" s="4" t="s">
        <v>452</v>
      </c>
      <c r="L227" s="35"/>
      <c r="M227" s="4"/>
      <c r="N227" s="4" t="s">
        <v>177</v>
      </c>
      <c r="O227" s="4" t="s">
        <v>76</v>
      </c>
      <c r="P227" s="4"/>
      <c r="Q227" s="4" t="s">
        <v>25</v>
      </c>
      <c r="R227" s="4">
        <v>0</v>
      </c>
      <c r="S227" s="4" t="s">
        <v>38</v>
      </c>
      <c r="T227" s="4"/>
      <c r="U227" s="4" t="s">
        <v>352</v>
      </c>
      <c r="V227" s="4" t="s">
        <v>352</v>
      </c>
    </row>
    <row r="228" spans="2:22" s="2" customFormat="1" ht="18" hidden="1" customHeight="1" x14ac:dyDescent="0.2">
      <c r="B228" s="13">
        <f t="shared" si="13"/>
        <v>211</v>
      </c>
      <c r="C228" s="3" t="s">
        <v>22</v>
      </c>
      <c r="D228" s="3">
        <v>900000755</v>
      </c>
      <c r="E228" s="20" t="str">
        <f t="shared" si="12"/>
        <v>900000755</v>
      </c>
      <c r="F228" s="20"/>
      <c r="G228" s="20"/>
      <c r="H228" s="35">
        <v>900000755</v>
      </c>
      <c r="I228" s="3" t="s">
        <v>11</v>
      </c>
      <c r="J228" s="3" t="s">
        <v>253</v>
      </c>
      <c r="K228" s="20" t="s">
        <v>469</v>
      </c>
      <c r="L228" s="35"/>
      <c r="M228" s="20"/>
      <c r="N228" s="3" t="s">
        <v>254</v>
      </c>
      <c r="O228" s="3" t="s">
        <v>77</v>
      </c>
      <c r="P228" s="3"/>
      <c r="Q228" s="3" t="s">
        <v>18</v>
      </c>
      <c r="R228" s="3">
        <v>2</v>
      </c>
      <c r="S228" s="3" t="s">
        <v>15</v>
      </c>
      <c r="T228" s="3"/>
      <c r="U228" s="3" t="s">
        <v>568</v>
      </c>
      <c r="V228" s="3" t="s">
        <v>568</v>
      </c>
    </row>
    <row r="229" spans="2:22" s="2" customFormat="1" ht="18" hidden="1" customHeight="1" x14ac:dyDescent="0.2">
      <c r="B229" s="13">
        <f t="shared" si="13"/>
        <v>212</v>
      </c>
      <c r="C229" s="3" t="s">
        <v>22</v>
      </c>
      <c r="D229" s="3">
        <v>900001259</v>
      </c>
      <c r="E229" s="20" t="str">
        <f t="shared" si="12"/>
        <v>900001259</v>
      </c>
      <c r="F229" s="20"/>
      <c r="G229" s="20"/>
      <c r="H229" s="35">
        <v>900001259</v>
      </c>
      <c r="I229" s="3" t="s">
        <v>11</v>
      </c>
      <c r="J229" s="3" t="s">
        <v>255</v>
      </c>
      <c r="K229" s="20" t="s">
        <v>470</v>
      </c>
      <c r="L229" s="35"/>
      <c r="M229" s="20"/>
      <c r="N229" s="3" t="s">
        <v>256</v>
      </c>
      <c r="O229" s="3" t="s">
        <v>96</v>
      </c>
      <c r="P229" s="3"/>
      <c r="Q229" s="3" t="s">
        <v>257</v>
      </c>
      <c r="R229" s="3">
        <v>10</v>
      </c>
      <c r="S229" s="3" t="s">
        <v>15</v>
      </c>
      <c r="T229" s="3"/>
      <c r="U229" s="3" t="s">
        <v>551</v>
      </c>
      <c r="V229" s="3" t="s">
        <v>552</v>
      </c>
    </row>
    <row r="230" spans="2:22" s="2" customFormat="1" ht="18" hidden="1" customHeight="1" x14ac:dyDescent="0.2">
      <c r="B230" s="15">
        <f t="shared" si="13"/>
        <v>213</v>
      </c>
      <c r="C230" s="11" t="s">
        <v>16</v>
      </c>
      <c r="D230" s="11">
        <v>190005706</v>
      </c>
      <c r="E230" s="20" t="str">
        <f t="shared" si="12"/>
        <v>190005706</v>
      </c>
      <c r="F230" s="20"/>
      <c r="G230" s="20"/>
      <c r="H230" s="35">
        <v>190005706</v>
      </c>
      <c r="I230" s="11" t="s">
        <v>11</v>
      </c>
      <c r="J230" s="11" t="s">
        <v>245</v>
      </c>
      <c r="K230" s="11" t="s">
        <v>466</v>
      </c>
      <c r="L230" s="35"/>
      <c r="M230" s="11"/>
      <c r="N230" s="11" t="s">
        <v>258</v>
      </c>
      <c r="O230" s="11" t="s">
        <v>14</v>
      </c>
      <c r="P230" s="11"/>
      <c r="Q230" s="11" t="s">
        <v>21</v>
      </c>
      <c r="R230" s="11">
        <v>1</v>
      </c>
      <c r="S230" s="11" t="s">
        <v>15</v>
      </c>
      <c r="T230" s="11"/>
      <c r="U230" s="11" t="s">
        <v>543</v>
      </c>
      <c r="V230" s="11" t="s">
        <v>672</v>
      </c>
    </row>
    <row r="231" spans="2:22" s="2" customFormat="1" ht="18" hidden="1" customHeight="1" x14ac:dyDescent="0.2">
      <c r="B231" s="13">
        <f t="shared" si="13"/>
        <v>214</v>
      </c>
      <c r="C231" s="3" t="s">
        <v>22</v>
      </c>
      <c r="D231" s="3">
        <v>340001808</v>
      </c>
      <c r="E231" s="20" t="str">
        <f t="shared" si="12"/>
        <v>340001808</v>
      </c>
      <c r="F231" s="20"/>
      <c r="G231" s="20"/>
      <c r="H231" s="35">
        <v>340001808</v>
      </c>
      <c r="I231" s="3" t="s">
        <v>11</v>
      </c>
      <c r="J231" s="3" t="s">
        <v>60</v>
      </c>
      <c r="K231" s="20" t="s">
        <v>422</v>
      </c>
      <c r="L231" s="35"/>
      <c r="M231" s="20"/>
      <c r="N231" s="3" t="s">
        <v>247</v>
      </c>
      <c r="O231" s="3" t="s">
        <v>127</v>
      </c>
      <c r="P231" s="3"/>
      <c r="Q231" s="3" t="s">
        <v>21</v>
      </c>
      <c r="R231" s="3">
        <v>1</v>
      </c>
      <c r="S231" s="3" t="s">
        <v>15</v>
      </c>
      <c r="T231" s="3"/>
      <c r="U231" s="3" t="s">
        <v>568</v>
      </c>
      <c r="V231" s="3" t="s">
        <v>568</v>
      </c>
    </row>
    <row r="232" spans="2:22" s="2" customFormat="1" ht="18" hidden="1" customHeight="1" x14ac:dyDescent="0.2">
      <c r="B232" s="13">
        <f t="shared" si="13"/>
        <v>215</v>
      </c>
      <c r="C232" s="3" t="s">
        <v>22</v>
      </c>
      <c r="D232" s="3">
        <v>3402935</v>
      </c>
      <c r="E232" s="20" t="str">
        <f t="shared" si="12"/>
        <v>3402935</v>
      </c>
      <c r="F232" s="20"/>
      <c r="G232" s="20"/>
      <c r="H232" s="35">
        <v>3402935</v>
      </c>
      <c r="I232" s="3" t="s">
        <v>11</v>
      </c>
      <c r="J232" s="3" t="s">
        <v>23</v>
      </c>
      <c r="K232" s="20" t="s">
        <v>410</v>
      </c>
      <c r="L232" s="35"/>
      <c r="M232" s="20"/>
      <c r="N232" s="3" t="s">
        <v>259</v>
      </c>
      <c r="O232" s="3" t="s">
        <v>260</v>
      </c>
      <c r="P232" s="3"/>
      <c r="Q232" s="3" t="s">
        <v>74</v>
      </c>
      <c r="R232" s="3">
        <v>3</v>
      </c>
      <c r="S232" s="3" t="s">
        <v>15</v>
      </c>
      <c r="T232" s="3"/>
      <c r="U232" s="3" t="s">
        <v>552</v>
      </c>
      <c r="V232" s="3" t="s">
        <v>568</v>
      </c>
    </row>
    <row r="233" spans="2:22" s="2" customFormat="1" ht="18" hidden="1" customHeight="1" x14ac:dyDescent="0.2">
      <c r="B233" s="13">
        <f t="shared" si="13"/>
        <v>216</v>
      </c>
      <c r="C233" s="3" t="s">
        <v>22</v>
      </c>
      <c r="D233" s="3">
        <v>7500022</v>
      </c>
      <c r="E233" s="20" t="str">
        <f t="shared" si="12"/>
        <v>7500022</v>
      </c>
      <c r="F233" s="20"/>
      <c r="G233" s="20"/>
      <c r="H233" s="35">
        <v>7500022</v>
      </c>
      <c r="I233" s="3" t="s">
        <v>11</v>
      </c>
      <c r="J233" s="3" t="s">
        <v>248</v>
      </c>
      <c r="K233" s="20" t="s">
        <v>467</v>
      </c>
      <c r="L233" s="35"/>
      <c r="M233" s="20"/>
      <c r="N233" s="3" t="s">
        <v>249</v>
      </c>
      <c r="O233" s="3" t="s">
        <v>70</v>
      </c>
      <c r="P233" s="3"/>
      <c r="Q233" s="3" t="s">
        <v>25</v>
      </c>
      <c r="R233" s="3">
        <v>0</v>
      </c>
      <c r="S233" s="3" t="s">
        <v>15</v>
      </c>
      <c r="T233" s="3"/>
      <c r="U233" s="3" t="s">
        <v>551</v>
      </c>
      <c r="V233" s="3" t="s">
        <v>552</v>
      </c>
    </row>
    <row r="234" spans="2:22" s="2" customFormat="1" ht="18" hidden="1" customHeight="1" x14ac:dyDescent="0.2">
      <c r="B234" s="13">
        <f t="shared" si="13"/>
        <v>217</v>
      </c>
      <c r="C234" s="3" t="s">
        <v>22</v>
      </c>
      <c r="D234" s="3">
        <v>7500024</v>
      </c>
      <c r="E234" s="20" t="str">
        <f t="shared" si="12"/>
        <v>7500024</v>
      </c>
      <c r="F234" s="20"/>
      <c r="G234" s="20"/>
      <c r="H234" s="35">
        <v>7500024</v>
      </c>
      <c r="I234" s="3" t="s">
        <v>11</v>
      </c>
      <c r="J234" s="3" t="s">
        <v>250</v>
      </c>
      <c r="K234" s="20" t="s">
        <v>468</v>
      </c>
      <c r="L234" s="35"/>
      <c r="M234" s="20"/>
      <c r="N234" s="3" t="s">
        <v>251</v>
      </c>
      <c r="O234" s="3" t="s">
        <v>83</v>
      </c>
      <c r="P234" s="3"/>
      <c r="Q234" s="3" t="s">
        <v>25</v>
      </c>
      <c r="R234" s="3">
        <v>0</v>
      </c>
      <c r="S234" s="3" t="s">
        <v>15</v>
      </c>
      <c r="T234" s="3"/>
      <c r="U234" s="3" t="s">
        <v>673</v>
      </c>
      <c r="V234" s="3" t="s">
        <v>673</v>
      </c>
    </row>
    <row r="235" spans="2:22" s="2" customFormat="1" ht="18" hidden="1" customHeight="1" x14ac:dyDescent="0.2">
      <c r="B235" s="8">
        <f t="shared" si="13"/>
        <v>218</v>
      </c>
      <c r="C235" s="4" t="s">
        <v>22</v>
      </c>
      <c r="D235" s="4">
        <v>860005057</v>
      </c>
      <c r="E235" s="20" t="str">
        <f t="shared" si="12"/>
        <v>860005057</v>
      </c>
      <c r="F235" s="20"/>
      <c r="G235" s="20"/>
      <c r="H235" s="35">
        <v>860005057</v>
      </c>
      <c r="I235" s="4" t="s">
        <v>11</v>
      </c>
      <c r="J235" s="4" t="s">
        <v>159</v>
      </c>
      <c r="K235" s="4" t="s">
        <v>447</v>
      </c>
      <c r="L235" s="35"/>
      <c r="M235" s="4"/>
      <c r="N235" s="4" t="s">
        <v>674</v>
      </c>
      <c r="O235" s="4" t="s">
        <v>76</v>
      </c>
      <c r="P235" s="4"/>
      <c r="Q235" s="4" t="s">
        <v>25</v>
      </c>
      <c r="R235" s="4">
        <v>0</v>
      </c>
      <c r="S235" s="4" t="s">
        <v>15</v>
      </c>
      <c r="T235" s="4"/>
      <c r="U235" s="4" t="s">
        <v>352</v>
      </c>
      <c r="V235" s="4" t="s">
        <v>352</v>
      </c>
    </row>
    <row r="236" spans="2:22" s="2" customFormat="1" ht="18" hidden="1" customHeight="1" x14ac:dyDescent="0.2">
      <c r="B236" s="8">
        <f t="shared" si="13"/>
        <v>219</v>
      </c>
      <c r="C236" s="4" t="s">
        <v>22</v>
      </c>
      <c r="D236" s="4">
        <v>8600780</v>
      </c>
      <c r="E236" s="20" t="str">
        <f t="shared" si="12"/>
        <v>8600780</v>
      </c>
      <c r="F236" s="20"/>
      <c r="G236" s="20"/>
      <c r="H236" s="35">
        <v>8600780</v>
      </c>
      <c r="I236" s="4" t="s">
        <v>11</v>
      </c>
      <c r="J236" s="4" t="s">
        <v>155</v>
      </c>
      <c r="K236" s="4" t="s">
        <v>446</v>
      </c>
      <c r="L236" s="35"/>
      <c r="M236" s="4"/>
      <c r="N236" s="4" t="s">
        <v>156</v>
      </c>
      <c r="O236" s="4" t="s">
        <v>77</v>
      </c>
      <c r="P236" s="4"/>
      <c r="Q236" s="4" t="s">
        <v>25</v>
      </c>
      <c r="R236" s="4">
        <v>0</v>
      </c>
      <c r="S236" s="4" t="s">
        <v>38</v>
      </c>
      <c r="T236" s="4"/>
      <c r="U236" s="4" t="s">
        <v>352</v>
      </c>
      <c r="V236" s="4" t="s">
        <v>352</v>
      </c>
    </row>
    <row r="237" spans="2:22" s="2" customFormat="1" ht="18" hidden="1" customHeight="1" x14ac:dyDescent="0.2">
      <c r="B237" s="8">
        <f t="shared" si="13"/>
        <v>220</v>
      </c>
      <c r="C237" s="4" t="s">
        <v>22</v>
      </c>
      <c r="D237" s="4">
        <v>8800222</v>
      </c>
      <c r="E237" s="20" t="str">
        <f t="shared" si="12"/>
        <v>8800222</v>
      </c>
      <c r="F237" s="20"/>
      <c r="G237" s="20"/>
      <c r="H237" s="35">
        <v>8800222</v>
      </c>
      <c r="I237" s="4" t="s">
        <v>11</v>
      </c>
      <c r="J237" s="4" t="s">
        <v>176</v>
      </c>
      <c r="K237" s="4" t="s">
        <v>452</v>
      </c>
      <c r="L237" s="35"/>
      <c r="M237" s="4"/>
      <c r="N237" s="4" t="s">
        <v>177</v>
      </c>
      <c r="O237" s="4" t="s">
        <v>93</v>
      </c>
      <c r="P237" s="4"/>
      <c r="Q237" s="4" t="s">
        <v>25</v>
      </c>
      <c r="R237" s="4">
        <v>0</v>
      </c>
      <c r="S237" s="4" t="s">
        <v>38</v>
      </c>
      <c r="T237" s="4"/>
      <c r="U237" s="4" t="s">
        <v>352</v>
      </c>
      <c r="V237" s="4" t="s">
        <v>352</v>
      </c>
    </row>
    <row r="238" spans="2:22" s="2" customFormat="1" ht="18" hidden="1" customHeight="1" x14ac:dyDescent="0.2">
      <c r="B238" s="13">
        <f t="shared" si="13"/>
        <v>221</v>
      </c>
      <c r="C238" s="3" t="s">
        <v>22</v>
      </c>
      <c r="D238" s="3">
        <v>900000755</v>
      </c>
      <c r="E238" s="20" t="str">
        <f t="shared" si="12"/>
        <v>900000755</v>
      </c>
      <c r="F238" s="20"/>
      <c r="G238" s="20"/>
      <c r="H238" s="35">
        <v>900000755</v>
      </c>
      <c r="I238" s="3" t="s">
        <v>11</v>
      </c>
      <c r="J238" s="3" t="s">
        <v>253</v>
      </c>
      <c r="K238" s="20" t="s">
        <v>469</v>
      </c>
      <c r="L238" s="35"/>
      <c r="M238" s="20"/>
      <c r="N238" s="3" t="s">
        <v>254</v>
      </c>
      <c r="O238" s="3" t="s">
        <v>96</v>
      </c>
      <c r="P238" s="3"/>
      <c r="Q238" s="3" t="s">
        <v>55</v>
      </c>
      <c r="R238" s="3">
        <v>4</v>
      </c>
      <c r="S238" s="3" t="s">
        <v>15</v>
      </c>
      <c r="T238" s="3"/>
      <c r="U238" s="3" t="s">
        <v>547</v>
      </c>
      <c r="V238" s="3" t="s">
        <v>568</v>
      </c>
    </row>
    <row r="239" spans="2:22" s="2" customFormat="1" ht="18" hidden="1" customHeight="1" x14ac:dyDescent="0.2">
      <c r="B239" s="13">
        <f t="shared" si="13"/>
        <v>222</v>
      </c>
      <c r="C239" s="3" t="s">
        <v>22</v>
      </c>
      <c r="D239" s="3">
        <v>900000756</v>
      </c>
      <c r="E239" s="20" t="str">
        <f t="shared" si="12"/>
        <v>900000756</v>
      </c>
      <c r="F239" s="20"/>
      <c r="G239" s="20"/>
      <c r="H239" s="35">
        <v>900000756</v>
      </c>
      <c r="I239" s="3" t="s">
        <v>11</v>
      </c>
      <c r="J239" s="3" t="s">
        <v>60</v>
      </c>
      <c r="K239" s="20" t="s">
        <v>422</v>
      </c>
      <c r="L239" s="35"/>
      <c r="M239" s="20"/>
      <c r="N239" s="3" t="s">
        <v>256</v>
      </c>
      <c r="O239" s="3" t="s">
        <v>72</v>
      </c>
      <c r="P239" s="3"/>
      <c r="Q239" s="3" t="s">
        <v>18</v>
      </c>
      <c r="R239" s="3">
        <v>2</v>
      </c>
      <c r="S239" s="3" t="s">
        <v>15</v>
      </c>
      <c r="T239" s="3"/>
      <c r="U239" s="3" t="s">
        <v>552</v>
      </c>
      <c r="V239" s="3" t="s">
        <v>568</v>
      </c>
    </row>
    <row r="240" spans="2:22" s="2" customFormat="1" ht="18" hidden="1" customHeight="1" x14ac:dyDescent="0.2">
      <c r="B240" s="15">
        <f t="shared" si="13"/>
        <v>223</v>
      </c>
      <c r="C240" s="11" t="s">
        <v>16</v>
      </c>
      <c r="D240" s="11">
        <v>190005707</v>
      </c>
      <c r="E240" s="20" t="str">
        <f t="shared" si="12"/>
        <v>190005707</v>
      </c>
      <c r="F240" s="20"/>
      <c r="G240" s="20"/>
      <c r="H240" s="35">
        <v>190005707</v>
      </c>
      <c r="I240" s="11" t="s">
        <v>11</v>
      </c>
      <c r="J240" s="11" t="s">
        <v>261</v>
      </c>
      <c r="K240" s="11" t="s">
        <v>471</v>
      </c>
      <c r="L240" s="35"/>
      <c r="M240" s="11"/>
      <c r="N240" s="11" t="s">
        <v>262</v>
      </c>
      <c r="O240" s="11" t="s">
        <v>14</v>
      </c>
      <c r="P240" s="11"/>
      <c r="Q240" s="11" t="s">
        <v>21</v>
      </c>
      <c r="R240" s="11">
        <v>1</v>
      </c>
      <c r="S240" s="11" t="s">
        <v>15</v>
      </c>
      <c r="T240" s="11"/>
      <c r="U240" s="11" t="s">
        <v>543</v>
      </c>
      <c r="V240" s="11" t="s">
        <v>573</v>
      </c>
    </row>
    <row r="241" spans="2:22" s="2" customFormat="1" ht="18" hidden="1" customHeight="1" x14ac:dyDescent="0.2">
      <c r="B241" s="13">
        <f t="shared" si="13"/>
        <v>224</v>
      </c>
      <c r="C241" s="3" t="s">
        <v>22</v>
      </c>
      <c r="D241" s="3">
        <v>340001808</v>
      </c>
      <c r="E241" s="20" t="str">
        <f t="shared" si="12"/>
        <v>340001808</v>
      </c>
      <c r="F241" s="20"/>
      <c r="G241" s="20"/>
      <c r="H241" s="35">
        <v>340001808</v>
      </c>
      <c r="I241" s="3" t="s">
        <v>11</v>
      </c>
      <c r="J241" s="3" t="s">
        <v>60</v>
      </c>
      <c r="K241" s="20" t="s">
        <v>422</v>
      </c>
      <c r="L241" s="35"/>
      <c r="M241" s="20"/>
      <c r="N241" s="3" t="s">
        <v>247</v>
      </c>
      <c r="O241" s="3" t="s">
        <v>127</v>
      </c>
      <c r="P241" s="3"/>
      <c r="Q241" s="3" t="s">
        <v>21</v>
      </c>
      <c r="R241" s="3">
        <v>1</v>
      </c>
      <c r="S241" s="3" t="s">
        <v>15</v>
      </c>
      <c r="T241" s="3"/>
      <c r="U241" s="3" t="s">
        <v>568</v>
      </c>
      <c r="V241" s="3" t="s">
        <v>547</v>
      </c>
    </row>
    <row r="242" spans="2:22" s="2" customFormat="1" ht="18" hidden="1" customHeight="1" x14ac:dyDescent="0.2">
      <c r="B242" s="13">
        <f t="shared" si="13"/>
        <v>225</v>
      </c>
      <c r="C242" s="3" t="s">
        <v>22</v>
      </c>
      <c r="D242" s="3">
        <v>3402836</v>
      </c>
      <c r="E242" s="20" t="str">
        <f t="shared" si="12"/>
        <v>3402836</v>
      </c>
      <c r="F242" s="20"/>
      <c r="G242" s="20"/>
      <c r="H242" s="35">
        <v>3402836</v>
      </c>
      <c r="I242" s="3" t="s">
        <v>11</v>
      </c>
      <c r="J242" s="3" t="s">
        <v>60</v>
      </c>
      <c r="K242" s="20" t="s">
        <v>422</v>
      </c>
      <c r="L242" s="35"/>
      <c r="M242" s="20"/>
      <c r="N242" s="3" t="s">
        <v>263</v>
      </c>
      <c r="O242" s="3" t="s">
        <v>68</v>
      </c>
      <c r="P242" s="3"/>
      <c r="Q242" s="3" t="s">
        <v>18</v>
      </c>
      <c r="R242" s="3">
        <v>2</v>
      </c>
      <c r="S242" s="3" t="s">
        <v>15</v>
      </c>
      <c r="T242" s="3"/>
      <c r="U242" s="3" t="s">
        <v>547</v>
      </c>
      <c r="V242" s="3" t="s">
        <v>547</v>
      </c>
    </row>
    <row r="243" spans="2:22" s="2" customFormat="1" ht="18" hidden="1" customHeight="1" x14ac:dyDescent="0.2">
      <c r="B243" s="13">
        <f t="shared" si="13"/>
        <v>226</v>
      </c>
      <c r="C243" s="3" t="s">
        <v>22</v>
      </c>
      <c r="D243" s="3">
        <v>7500021</v>
      </c>
      <c r="E243" s="20" t="str">
        <f t="shared" si="12"/>
        <v>7500021</v>
      </c>
      <c r="F243" s="20"/>
      <c r="G243" s="20"/>
      <c r="H243" s="35">
        <v>7500021</v>
      </c>
      <c r="I243" s="3" t="s">
        <v>11</v>
      </c>
      <c r="J243" s="3" t="s">
        <v>264</v>
      </c>
      <c r="K243" s="20" t="s">
        <v>472</v>
      </c>
      <c r="L243" s="35"/>
      <c r="M243" s="20"/>
      <c r="N243" s="3" t="s">
        <v>265</v>
      </c>
      <c r="O243" s="3" t="s">
        <v>70</v>
      </c>
      <c r="P243" s="3"/>
      <c r="Q243" s="3" t="s">
        <v>25</v>
      </c>
      <c r="R243" s="3">
        <v>0</v>
      </c>
      <c r="S243" s="3" t="s">
        <v>15</v>
      </c>
      <c r="T243" s="3"/>
      <c r="U243" s="3" t="s">
        <v>568</v>
      </c>
      <c r="V243" s="3" t="s">
        <v>552</v>
      </c>
    </row>
    <row r="244" spans="2:22" s="2" customFormat="1" ht="18" hidden="1" customHeight="1" x14ac:dyDescent="0.2">
      <c r="B244" s="8">
        <f t="shared" si="13"/>
        <v>227</v>
      </c>
      <c r="C244" s="4" t="s">
        <v>22</v>
      </c>
      <c r="D244" s="4">
        <v>7500022</v>
      </c>
      <c r="E244" s="20" t="str">
        <f t="shared" si="12"/>
        <v>7500022</v>
      </c>
      <c r="F244" s="20"/>
      <c r="G244" s="20"/>
      <c r="H244" s="35">
        <v>7500022</v>
      </c>
      <c r="I244" s="4" t="s">
        <v>11</v>
      </c>
      <c r="J244" s="4" t="s">
        <v>248</v>
      </c>
      <c r="K244" s="4" t="s">
        <v>467</v>
      </c>
      <c r="L244" s="35"/>
      <c r="M244" s="4"/>
      <c r="N244" s="4" t="s">
        <v>249</v>
      </c>
      <c r="O244" s="4" t="s">
        <v>83</v>
      </c>
      <c r="P244" s="4"/>
      <c r="Q244" s="4" t="s">
        <v>25</v>
      </c>
      <c r="R244" s="4">
        <v>0</v>
      </c>
      <c r="S244" s="4" t="s">
        <v>15</v>
      </c>
      <c r="T244" s="4"/>
      <c r="U244" s="4" t="s">
        <v>352</v>
      </c>
      <c r="V244" s="4" t="s">
        <v>352</v>
      </c>
    </row>
    <row r="245" spans="2:22" s="2" customFormat="1" ht="18" hidden="1" customHeight="1" x14ac:dyDescent="0.2">
      <c r="B245" s="8">
        <f t="shared" si="13"/>
        <v>228</v>
      </c>
      <c r="C245" s="4" t="s">
        <v>22</v>
      </c>
      <c r="D245" s="4">
        <v>7500024</v>
      </c>
      <c r="E245" s="20" t="str">
        <f t="shared" si="12"/>
        <v>7500024</v>
      </c>
      <c r="F245" s="20"/>
      <c r="G245" s="20"/>
      <c r="H245" s="35">
        <v>7500024</v>
      </c>
      <c r="I245" s="4" t="s">
        <v>11</v>
      </c>
      <c r="J245" s="4" t="s">
        <v>250</v>
      </c>
      <c r="K245" s="4" t="s">
        <v>468</v>
      </c>
      <c r="L245" s="35"/>
      <c r="M245" s="4"/>
      <c r="N245" s="4" t="s">
        <v>251</v>
      </c>
      <c r="O245" s="4" t="s">
        <v>106</v>
      </c>
      <c r="P245" s="4"/>
      <c r="Q245" s="4" t="s">
        <v>25</v>
      </c>
      <c r="R245" s="4">
        <v>0</v>
      </c>
      <c r="S245" s="4" t="s">
        <v>15</v>
      </c>
      <c r="T245" s="4"/>
      <c r="U245" s="4" t="s">
        <v>352</v>
      </c>
      <c r="V245" s="4" t="s">
        <v>352</v>
      </c>
    </row>
    <row r="246" spans="2:22" s="2" customFormat="1" ht="18" hidden="1" customHeight="1" x14ac:dyDescent="0.2">
      <c r="B246" s="13">
        <f t="shared" si="13"/>
        <v>229</v>
      </c>
      <c r="C246" s="3" t="s">
        <v>22</v>
      </c>
      <c r="D246" s="3" t="s">
        <v>675</v>
      </c>
      <c r="E246" s="20" t="str">
        <f t="shared" si="12"/>
        <v>7641-0001-0406</v>
      </c>
      <c r="F246" s="20"/>
      <c r="G246" s="20"/>
      <c r="H246" s="35" t="s">
        <v>676</v>
      </c>
      <c r="I246" s="3" t="s">
        <v>11</v>
      </c>
      <c r="J246" s="3" t="s">
        <v>266</v>
      </c>
      <c r="K246" s="20" t="s">
        <v>473</v>
      </c>
      <c r="L246" s="35"/>
      <c r="M246" s="20"/>
      <c r="N246" s="3" t="s">
        <v>267</v>
      </c>
      <c r="O246" s="3" t="s">
        <v>76</v>
      </c>
      <c r="P246" s="3"/>
      <c r="Q246" s="3" t="s">
        <v>25</v>
      </c>
      <c r="R246" s="3">
        <v>0</v>
      </c>
      <c r="S246" s="3" t="s">
        <v>15</v>
      </c>
      <c r="T246" s="3"/>
      <c r="U246" s="3" t="s">
        <v>552</v>
      </c>
      <c r="V246" s="3" t="s">
        <v>568</v>
      </c>
    </row>
    <row r="247" spans="2:22" s="2" customFormat="1" ht="18" hidden="1" customHeight="1" x14ac:dyDescent="0.2">
      <c r="B247" s="8">
        <f t="shared" si="13"/>
        <v>230</v>
      </c>
      <c r="C247" s="4" t="s">
        <v>22</v>
      </c>
      <c r="D247" s="4">
        <v>860005057</v>
      </c>
      <c r="E247" s="20" t="str">
        <f t="shared" si="12"/>
        <v>860005057</v>
      </c>
      <c r="F247" s="20"/>
      <c r="G247" s="20"/>
      <c r="H247" s="35">
        <v>860005057</v>
      </c>
      <c r="I247" s="4" t="s">
        <v>11</v>
      </c>
      <c r="J247" s="4" t="s">
        <v>159</v>
      </c>
      <c r="K247" s="4" t="s">
        <v>447</v>
      </c>
      <c r="L247" s="35"/>
      <c r="M247" s="4"/>
      <c r="N247" s="4" t="s">
        <v>252</v>
      </c>
      <c r="O247" s="4" t="s">
        <v>77</v>
      </c>
      <c r="P247" s="4"/>
      <c r="Q247" s="4" t="s">
        <v>25</v>
      </c>
      <c r="R247" s="4">
        <v>0</v>
      </c>
      <c r="S247" s="4" t="s">
        <v>15</v>
      </c>
      <c r="T247" s="4"/>
      <c r="U247" s="4" t="s">
        <v>352</v>
      </c>
      <c r="V247" s="4" t="s">
        <v>352</v>
      </c>
    </row>
    <row r="248" spans="2:22" s="2" customFormat="1" ht="18" hidden="1" customHeight="1" x14ac:dyDescent="0.2">
      <c r="B248" s="8">
        <f t="shared" si="13"/>
        <v>231</v>
      </c>
      <c r="C248" s="4" t="s">
        <v>22</v>
      </c>
      <c r="D248" s="4">
        <v>8600780</v>
      </c>
      <c r="E248" s="20" t="str">
        <f t="shared" si="12"/>
        <v>8600780</v>
      </c>
      <c r="F248" s="20"/>
      <c r="G248" s="20"/>
      <c r="H248" s="35">
        <v>8600780</v>
      </c>
      <c r="I248" s="4" t="s">
        <v>11</v>
      </c>
      <c r="J248" s="4" t="s">
        <v>155</v>
      </c>
      <c r="K248" s="4" t="s">
        <v>446</v>
      </c>
      <c r="L248" s="35"/>
      <c r="M248" s="4"/>
      <c r="N248" s="4" t="s">
        <v>156</v>
      </c>
      <c r="O248" s="4" t="s">
        <v>93</v>
      </c>
      <c r="P248" s="4"/>
      <c r="Q248" s="4" t="s">
        <v>25</v>
      </c>
      <c r="R248" s="4">
        <v>0</v>
      </c>
      <c r="S248" s="4" t="s">
        <v>38</v>
      </c>
      <c r="T248" s="4"/>
      <c r="U248" s="4" t="s">
        <v>352</v>
      </c>
      <c r="V248" s="4" t="s">
        <v>352</v>
      </c>
    </row>
    <row r="249" spans="2:22" s="2" customFormat="1" ht="18" hidden="1" customHeight="1" x14ac:dyDescent="0.2">
      <c r="B249" s="8">
        <f t="shared" si="13"/>
        <v>232</v>
      </c>
      <c r="C249" s="4" t="s">
        <v>22</v>
      </c>
      <c r="D249" s="4">
        <v>8800222</v>
      </c>
      <c r="E249" s="20" t="str">
        <f t="shared" si="12"/>
        <v>8800222</v>
      </c>
      <c r="F249" s="20"/>
      <c r="G249" s="20"/>
      <c r="H249" s="35">
        <v>8800222</v>
      </c>
      <c r="I249" s="4" t="s">
        <v>11</v>
      </c>
      <c r="J249" s="4" t="s">
        <v>176</v>
      </c>
      <c r="K249" s="4" t="s">
        <v>452</v>
      </c>
      <c r="L249" s="35"/>
      <c r="M249" s="4"/>
      <c r="N249" s="4" t="s">
        <v>177</v>
      </c>
      <c r="O249" s="4" t="s">
        <v>96</v>
      </c>
      <c r="P249" s="4"/>
      <c r="Q249" s="4" t="s">
        <v>25</v>
      </c>
      <c r="R249" s="4">
        <v>0</v>
      </c>
      <c r="S249" s="4" t="s">
        <v>38</v>
      </c>
      <c r="T249" s="4"/>
      <c r="U249" s="4" t="s">
        <v>352</v>
      </c>
      <c r="V249" s="4" t="s">
        <v>352</v>
      </c>
    </row>
    <row r="250" spans="2:22" s="2" customFormat="1" ht="18" hidden="1" customHeight="1" x14ac:dyDescent="0.2">
      <c r="B250" s="13">
        <f t="shared" si="13"/>
        <v>233</v>
      </c>
      <c r="C250" s="3" t="s">
        <v>22</v>
      </c>
      <c r="D250" s="3">
        <v>900000755</v>
      </c>
      <c r="E250" s="20" t="str">
        <f t="shared" si="12"/>
        <v>900000755</v>
      </c>
      <c r="F250" s="20"/>
      <c r="G250" s="20"/>
      <c r="H250" s="35">
        <v>900000755</v>
      </c>
      <c r="I250" s="3" t="s">
        <v>11</v>
      </c>
      <c r="J250" s="3" t="s">
        <v>253</v>
      </c>
      <c r="K250" s="20" t="s">
        <v>469</v>
      </c>
      <c r="L250" s="35"/>
      <c r="M250" s="20"/>
      <c r="N250" s="3" t="s">
        <v>254</v>
      </c>
      <c r="O250" s="3" t="s">
        <v>72</v>
      </c>
      <c r="P250" s="3"/>
      <c r="Q250" s="3" t="s">
        <v>200</v>
      </c>
      <c r="R250" s="3">
        <v>6</v>
      </c>
      <c r="S250" s="3" t="s">
        <v>15</v>
      </c>
      <c r="T250" s="3"/>
      <c r="U250" s="3" t="s">
        <v>568</v>
      </c>
      <c r="V250" s="3" t="s">
        <v>547</v>
      </c>
    </row>
    <row r="251" spans="2:22" s="2" customFormat="1" ht="18" hidden="1" customHeight="1" x14ac:dyDescent="0.2">
      <c r="B251" s="13">
        <f t="shared" si="13"/>
        <v>234</v>
      </c>
      <c r="C251" s="3" t="s">
        <v>22</v>
      </c>
      <c r="D251" s="3">
        <v>900000757</v>
      </c>
      <c r="E251" s="20" t="str">
        <f t="shared" si="12"/>
        <v>900000757</v>
      </c>
      <c r="F251" s="20"/>
      <c r="G251" s="20"/>
      <c r="H251" s="35">
        <v>900000757</v>
      </c>
      <c r="I251" s="3" t="s">
        <v>11</v>
      </c>
      <c r="J251" s="3" t="s">
        <v>268</v>
      </c>
      <c r="K251" s="20" t="s">
        <v>474</v>
      </c>
      <c r="L251" s="35"/>
      <c r="M251" s="20"/>
      <c r="N251" s="3" t="s">
        <v>269</v>
      </c>
      <c r="O251" s="3" t="s">
        <v>133</v>
      </c>
      <c r="P251" s="3"/>
      <c r="Q251" s="3" t="s">
        <v>18</v>
      </c>
      <c r="R251" s="3">
        <v>2</v>
      </c>
      <c r="S251" s="3" t="s">
        <v>15</v>
      </c>
      <c r="T251" s="3"/>
      <c r="U251" s="3" t="s">
        <v>568</v>
      </c>
      <c r="V251" s="3" t="s">
        <v>547</v>
      </c>
    </row>
    <row r="252" spans="2:22" s="2" customFormat="1" ht="18" hidden="1" customHeight="1" x14ac:dyDescent="0.2">
      <c r="B252" s="13">
        <f t="shared" si="13"/>
        <v>235</v>
      </c>
      <c r="C252" s="3" t="s">
        <v>22</v>
      </c>
      <c r="D252" s="3">
        <v>900001259</v>
      </c>
      <c r="E252" s="20" t="str">
        <f t="shared" si="12"/>
        <v>900001259</v>
      </c>
      <c r="F252" s="20"/>
      <c r="G252" s="20"/>
      <c r="H252" s="35">
        <v>900001259</v>
      </c>
      <c r="I252" s="3" t="s">
        <v>11</v>
      </c>
      <c r="J252" s="3" t="s">
        <v>255</v>
      </c>
      <c r="K252" s="20" t="s">
        <v>470</v>
      </c>
      <c r="L252" s="35"/>
      <c r="M252" s="20"/>
      <c r="N252" s="3" t="s">
        <v>256</v>
      </c>
      <c r="O252" s="3" t="s">
        <v>260</v>
      </c>
      <c r="P252" s="3"/>
      <c r="Q252" s="3" t="s">
        <v>55</v>
      </c>
      <c r="R252" s="3">
        <v>4</v>
      </c>
      <c r="S252" s="3" t="s">
        <v>15</v>
      </c>
      <c r="T252" s="3"/>
      <c r="U252" s="3" t="s">
        <v>551</v>
      </c>
      <c r="V252" s="3" t="s">
        <v>551</v>
      </c>
    </row>
    <row r="253" spans="2:22" s="2" customFormat="1" ht="18" hidden="1" customHeight="1" x14ac:dyDescent="0.2">
      <c r="B253" s="15">
        <f t="shared" si="13"/>
        <v>236</v>
      </c>
      <c r="C253" s="11" t="s">
        <v>16</v>
      </c>
      <c r="D253" s="11">
        <v>190005895</v>
      </c>
      <c r="E253" s="20" t="str">
        <f t="shared" si="12"/>
        <v>190005895</v>
      </c>
      <c r="F253" s="20"/>
      <c r="G253" s="20"/>
      <c r="H253" s="35">
        <v>190005895</v>
      </c>
      <c r="I253" s="11" t="s">
        <v>11</v>
      </c>
      <c r="J253" s="11" t="s">
        <v>270</v>
      </c>
      <c r="K253" s="11" t="s">
        <v>475</v>
      </c>
      <c r="L253" s="35"/>
      <c r="M253" s="11"/>
      <c r="N253" s="11" t="s">
        <v>271</v>
      </c>
      <c r="O253" s="11" t="s">
        <v>14</v>
      </c>
      <c r="P253" s="11"/>
      <c r="Q253" s="11" t="s">
        <v>21</v>
      </c>
      <c r="R253" s="11">
        <v>1</v>
      </c>
      <c r="S253" s="11" t="s">
        <v>15</v>
      </c>
      <c r="T253" s="11"/>
      <c r="U253" s="11" t="s">
        <v>544</v>
      </c>
      <c r="V253" s="11" t="s">
        <v>354</v>
      </c>
    </row>
    <row r="254" spans="2:22" s="2" customFormat="1" ht="18" hidden="1" customHeight="1" x14ac:dyDescent="0.2">
      <c r="B254" s="12">
        <f t="shared" si="13"/>
        <v>237</v>
      </c>
      <c r="C254" s="3" t="s">
        <v>22</v>
      </c>
      <c r="D254" s="3">
        <v>300000839</v>
      </c>
      <c r="E254" s="20" t="str">
        <f t="shared" si="12"/>
        <v>300000839</v>
      </c>
      <c r="F254" s="20"/>
      <c r="G254" s="20"/>
      <c r="H254" s="35">
        <v>300000839</v>
      </c>
      <c r="I254" s="3" t="s">
        <v>11</v>
      </c>
      <c r="J254" s="3" t="s">
        <v>34</v>
      </c>
      <c r="K254" s="20" t="s">
        <v>418</v>
      </c>
      <c r="L254" s="35"/>
      <c r="M254" s="20"/>
      <c r="N254" s="3" t="s">
        <v>272</v>
      </c>
      <c r="O254" s="3" t="s">
        <v>14</v>
      </c>
      <c r="P254" s="3"/>
      <c r="Q254" s="3" t="s">
        <v>33</v>
      </c>
      <c r="R254" s="3">
        <v>0</v>
      </c>
      <c r="S254" s="3" t="s">
        <v>15</v>
      </c>
      <c r="T254" s="3"/>
      <c r="U254" s="3" t="s">
        <v>568</v>
      </c>
      <c r="V254" s="3" t="s">
        <v>547</v>
      </c>
    </row>
    <row r="255" spans="2:22" s="2" customFormat="1" ht="18" hidden="1" customHeight="1" x14ac:dyDescent="0.2">
      <c r="B255" s="12">
        <f t="shared" si="13"/>
        <v>238</v>
      </c>
      <c r="C255" s="3" t="s">
        <v>22</v>
      </c>
      <c r="D255" s="3">
        <v>300000840</v>
      </c>
      <c r="E255" s="20" t="str">
        <f t="shared" si="12"/>
        <v>300000840</v>
      </c>
      <c r="F255" s="20"/>
      <c r="G255" s="20"/>
      <c r="H255" s="35">
        <v>300000840</v>
      </c>
      <c r="I255" s="3" t="s">
        <v>11</v>
      </c>
      <c r="J255" s="3" t="s">
        <v>34</v>
      </c>
      <c r="K255" s="20" t="s">
        <v>418</v>
      </c>
      <c r="L255" s="35"/>
      <c r="M255" s="20"/>
      <c r="N255" s="3" t="s">
        <v>273</v>
      </c>
      <c r="O255" s="3" t="s">
        <v>14</v>
      </c>
      <c r="P255" s="3"/>
      <c r="Q255" s="3" t="s">
        <v>33</v>
      </c>
      <c r="R255" s="3">
        <v>0</v>
      </c>
      <c r="S255" s="3" t="s">
        <v>15</v>
      </c>
      <c r="T255" s="3"/>
      <c r="U255" s="3" t="s">
        <v>552</v>
      </c>
      <c r="V255" s="3" t="s">
        <v>568</v>
      </c>
    </row>
    <row r="256" spans="2:22" s="2" customFormat="1" ht="18" hidden="1" customHeight="1" x14ac:dyDescent="0.2">
      <c r="B256" s="12">
        <f t="shared" si="13"/>
        <v>239</v>
      </c>
      <c r="C256" s="3" t="s">
        <v>22</v>
      </c>
      <c r="D256" s="3">
        <v>530000565</v>
      </c>
      <c r="E256" s="20" t="str">
        <f t="shared" si="12"/>
        <v>530000565</v>
      </c>
      <c r="F256" s="20"/>
      <c r="G256" s="20"/>
      <c r="H256" s="35">
        <v>530000565</v>
      </c>
      <c r="I256" s="3" t="s">
        <v>11</v>
      </c>
      <c r="J256" s="3" t="s">
        <v>23</v>
      </c>
      <c r="K256" s="20" t="s">
        <v>410</v>
      </c>
      <c r="L256" s="35"/>
      <c r="M256" s="20"/>
      <c r="N256" s="3" t="s">
        <v>274</v>
      </c>
      <c r="O256" s="3" t="s">
        <v>14</v>
      </c>
      <c r="P256" s="3"/>
      <c r="Q256" s="3" t="s">
        <v>33</v>
      </c>
      <c r="R256" s="3">
        <v>0</v>
      </c>
      <c r="S256" s="3" t="s">
        <v>15</v>
      </c>
      <c r="T256" s="3"/>
      <c r="U256" s="3" t="s">
        <v>568</v>
      </c>
      <c r="V256" s="3" t="s">
        <v>551</v>
      </c>
    </row>
    <row r="257" spans="2:22" s="2" customFormat="1" ht="18" hidden="1" customHeight="1" x14ac:dyDescent="0.2">
      <c r="B257" s="12">
        <f t="shared" si="13"/>
        <v>240</v>
      </c>
      <c r="C257" s="3" t="s">
        <v>16</v>
      </c>
      <c r="D257" s="3">
        <v>190005896</v>
      </c>
      <c r="E257" s="20" t="str">
        <f t="shared" si="12"/>
        <v>190005896</v>
      </c>
      <c r="F257" s="20"/>
      <c r="G257" s="20"/>
      <c r="H257" s="35">
        <v>190005896</v>
      </c>
      <c r="I257" s="3" t="s">
        <v>11</v>
      </c>
      <c r="J257" s="3" t="s">
        <v>60</v>
      </c>
      <c r="K257" s="20" t="s">
        <v>422</v>
      </c>
      <c r="L257" s="35"/>
      <c r="M257" s="20"/>
      <c r="N257" s="3" t="s">
        <v>275</v>
      </c>
      <c r="O257" s="3" t="s">
        <v>14</v>
      </c>
      <c r="P257" s="3"/>
      <c r="Q257" s="3" t="s">
        <v>74</v>
      </c>
      <c r="R257" s="3">
        <v>3</v>
      </c>
      <c r="S257" s="3" t="s">
        <v>15</v>
      </c>
      <c r="T257" s="3"/>
      <c r="U257" s="3" t="s">
        <v>547</v>
      </c>
      <c r="V257" s="3" t="s">
        <v>552</v>
      </c>
    </row>
    <row r="258" spans="2:22" s="2" customFormat="1" ht="18" hidden="1" customHeight="1" x14ac:dyDescent="0.2">
      <c r="B258" s="12">
        <f t="shared" si="13"/>
        <v>241</v>
      </c>
      <c r="C258" s="3" t="s">
        <v>16</v>
      </c>
      <c r="D258" s="3">
        <v>190005897</v>
      </c>
      <c r="E258" s="20" t="str">
        <f t="shared" si="12"/>
        <v>190005897</v>
      </c>
      <c r="F258" s="20"/>
      <c r="G258" s="20"/>
      <c r="H258" s="35">
        <v>190005897</v>
      </c>
      <c r="I258" s="3" t="s">
        <v>11</v>
      </c>
      <c r="J258" s="3" t="s">
        <v>60</v>
      </c>
      <c r="K258" s="20" t="s">
        <v>422</v>
      </c>
      <c r="L258" s="35"/>
      <c r="M258" s="20"/>
      <c r="N258" s="3" t="s">
        <v>276</v>
      </c>
      <c r="O258" s="3" t="s">
        <v>14</v>
      </c>
      <c r="P258" s="3"/>
      <c r="Q258" s="3" t="s">
        <v>21</v>
      </c>
      <c r="R258" s="3">
        <v>1</v>
      </c>
      <c r="S258" s="3" t="s">
        <v>15</v>
      </c>
      <c r="T258" s="3"/>
      <c r="U258" s="3" t="s">
        <v>568</v>
      </c>
      <c r="V258" s="3" t="s">
        <v>677</v>
      </c>
    </row>
    <row r="259" spans="2:22" s="2" customFormat="1" ht="18" hidden="1" customHeight="1" x14ac:dyDescent="0.2">
      <c r="B259" s="12">
        <f t="shared" si="13"/>
        <v>242</v>
      </c>
      <c r="C259" s="3" t="s">
        <v>16</v>
      </c>
      <c r="D259" s="3">
        <v>190005898</v>
      </c>
      <c r="E259" s="20" t="str">
        <f t="shared" si="12"/>
        <v>190005898</v>
      </c>
      <c r="F259" s="20"/>
      <c r="G259" s="20"/>
      <c r="H259" s="35">
        <v>190005898</v>
      </c>
      <c r="I259" s="3" t="s">
        <v>11</v>
      </c>
      <c r="J259" s="3" t="s">
        <v>60</v>
      </c>
      <c r="K259" s="20" t="s">
        <v>476</v>
      </c>
      <c r="L259" s="35"/>
      <c r="M259" s="20"/>
      <c r="N259" s="3" t="s">
        <v>277</v>
      </c>
      <c r="O259" s="3" t="s">
        <v>14</v>
      </c>
      <c r="P259" s="3"/>
      <c r="Q259" s="3" t="s">
        <v>21</v>
      </c>
      <c r="R259" s="3">
        <v>1</v>
      </c>
      <c r="S259" s="3" t="s">
        <v>38</v>
      </c>
      <c r="T259" s="3"/>
      <c r="U259" s="3" t="s">
        <v>551</v>
      </c>
      <c r="V259" s="3" t="s">
        <v>568</v>
      </c>
    </row>
    <row r="260" spans="2:22" s="2" customFormat="1" ht="18" hidden="1" customHeight="1" x14ac:dyDescent="0.2">
      <c r="B260" s="12">
        <f t="shared" si="13"/>
        <v>243</v>
      </c>
      <c r="C260" s="3" t="s">
        <v>16</v>
      </c>
      <c r="D260" s="3">
        <v>190005899</v>
      </c>
      <c r="E260" s="20" t="str">
        <f t="shared" si="12"/>
        <v>190005899</v>
      </c>
      <c r="F260" s="20"/>
      <c r="G260" s="20"/>
      <c r="H260" s="35">
        <v>190005899</v>
      </c>
      <c r="I260" s="3" t="s">
        <v>11</v>
      </c>
      <c r="J260" s="3" t="s">
        <v>60</v>
      </c>
      <c r="K260" s="20" t="s">
        <v>422</v>
      </c>
      <c r="L260" s="35"/>
      <c r="M260" s="20"/>
      <c r="N260" s="3" t="s">
        <v>278</v>
      </c>
      <c r="O260" s="3" t="s">
        <v>14</v>
      </c>
      <c r="P260" s="3"/>
      <c r="Q260" s="3" t="s">
        <v>21</v>
      </c>
      <c r="R260" s="3">
        <v>1</v>
      </c>
      <c r="S260" s="3" t="s">
        <v>15</v>
      </c>
      <c r="T260" s="3"/>
      <c r="U260" s="3" t="s">
        <v>677</v>
      </c>
      <c r="V260" s="3" t="s">
        <v>568</v>
      </c>
    </row>
    <row r="261" spans="2:22" s="2" customFormat="1" ht="18" hidden="1" customHeight="1" x14ac:dyDescent="0.2">
      <c r="B261" s="12">
        <f t="shared" si="13"/>
        <v>244</v>
      </c>
      <c r="C261" s="3" t="s">
        <v>16</v>
      </c>
      <c r="D261" s="3">
        <v>250000617</v>
      </c>
      <c r="E261" s="20" t="str">
        <f t="shared" si="12"/>
        <v>250000617</v>
      </c>
      <c r="F261" s="20"/>
      <c r="G261" s="20"/>
      <c r="H261" s="35">
        <v>250000617</v>
      </c>
      <c r="I261" s="3" t="s">
        <v>11</v>
      </c>
      <c r="J261" s="3" t="s">
        <v>23</v>
      </c>
      <c r="K261" s="20" t="s">
        <v>410</v>
      </c>
      <c r="L261" s="35"/>
      <c r="M261" s="20"/>
      <c r="N261" s="3" t="s">
        <v>279</v>
      </c>
      <c r="O261" s="3" t="s">
        <v>14</v>
      </c>
      <c r="P261" s="3"/>
      <c r="Q261" s="3" t="s">
        <v>21</v>
      </c>
      <c r="R261" s="3">
        <v>1</v>
      </c>
      <c r="S261" s="3" t="s">
        <v>15</v>
      </c>
      <c r="T261" s="3"/>
      <c r="U261" s="3" t="s">
        <v>547</v>
      </c>
      <c r="V261" s="3" t="s">
        <v>678</v>
      </c>
    </row>
    <row r="262" spans="2:22" s="2" customFormat="1" ht="18" hidden="1" customHeight="1" x14ac:dyDescent="0.2">
      <c r="B262" s="12">
        <f t="shared" si="13"/>
        <v>245</v>
      </c>
      <c r="C262" s="3" t="s">
        <v>16</v>
      </c>
      <c r="D262" s="3">
        <v>320000344</v>
      </c>
      <c r="E262" s="20" t="str">
        <f t="shared" si="12"/>
        <v>320000344</v>
      </c>
      <c r="F262" s="20"/>
      <c r="G262" s="20"/>
      <c r="H262" s="35">
        <v>320000344</v>
      </c>
      <c r="I262" s="3" t="s">
        <v>11</v>
      </c>
      <c r="J262" s="3" t="s">
        <v>23</v>
      </c>
      <c r="K262" s="20" t="s">
        <v>410</v>
      </c>
      <c r="L262" s="35"/>
      <c r="M262" s="20"/>
      <c r="N262" s="3" t="s">
        <v>280</v>
      </c>
      <c r="O262" s="3" t="s">
        <v>14</v>
      </c>
      <c r="P262" s="3"/>
      <c r="Q262" s="3" t="s">
        <v>200</v>
      </c>
      <c r="R262" s="3">
        <v>6</v>
      </c>
      <c r="S262" s="3" t="s">
        <v>15</v>
      </c>
      <c r="T262" s="3"/>
      <c r="U262" s="3" t="s">
        <v>547</v>
      </c>
      <c r="V262" s="3" t="s">
        <v>547</v>
      </c>
    </row>
    <row r="263" spans="2:22" s="2" customFormat="1" ht="18" hidden="1" customHeight="1" x14ac:dyDescent="0.2">
      <c r="B263" s="12">
        <f t="shared" si="13"/>
        <v>246</v>
      </c>
      <c r="C263" s="3" t="s">
        <v>16</v>
      </c>
      <c r="D263" s="3">
        <v>3200671</v>
      </c>
      <c r="E263" s="20" t="str">
        <f t="shared" si="12"/>
        <v>3200671</v>
      </c>
      <c r="F263" s="20"/>
      <c r="G263" s="20"/>
      <c r="H263" s="35">
        <v>3200671</v>
      </c>
      <c r="I263" s="3" t="s">
        <v>11</v>
      </c>
      <c r="J263" s="3" t="s">
        <v>281</v>
      </c>
      <c r="K263" s="20" t="s">
        <v>477</v>
      </c>
      <c r="L263" s="35"/>
      <c r="M263" s="20"/>
      <c r="N263" s="3" t="s">
        <v>282</v>
      </c>
      <c r="O263" s="3" t="s">
        <v>14</v>
      </c>
      <c r="P263" s="3"/>
      <c r="Q263" s="3" t="s">
        <v>21</v>
      </c>
      <c r="R263" s="3">
        <v>1</v>
      </c>
      <c r="S263" s="3" t="s">
        <v>15</v>
      </c>
      <c r="T263" s="3"/>
      <c r="U263" s="3" t="s">
        <v>568</v>
      </c>
      <c r="V263" s="3" t="s">
        <v>679</v>
      </c>
    </row>
    <row r="264" spans="2:22" s="2" customFormat="1" ht="18" hidden="1" customHeight="1" x14ac:dyDescent="0.2">
      <c r="B264" s="12">
        <f t="shared" si="13"/>
        <v>247</v>
      </c>
      <c r="C264" s="3" t="s">
        <v>16</v>
      </c>
      <c r="D264" s="3">
        <v>3200707</v>
      </c>
      <c r="E264" s="20" t="str">
        <f t="shared" si="12"/>
        <v>3200707</v>
      </c>
      <c r="F264" s="20"/>
      <c r="G264" s="20"/>
      <c r="H264" s="35">
        <v>3200707</v>
      </c>
      <c r="I264" s="3" t="s">
        <v>11</v>
      </c>
      <c r="J264" s="3" t="s">
        <v>60</v>
      </c>
      <c r="K264" s="20" t="s">
        <v>422</v>
      </c>
      <c r="L264" s="35"/>
      <c r="M264" s="20"/>
      <c r="N264" s="3" t="s">
        <v>283</v>
      </c>
      <c r="O264" s="3" t="s">
        <v>14</v>
      </c>
      <c r="P264" s="3"/>
      <c r="Q264" s="3" t="s">
        <v>21</v>
      </c>
      <c r="R264" s="3">
        <v>1</v>
      </c>
      <c r="S264" s="3" t="s">
        <v>15</v>
      </c>
      <c r="T264" s="3"/>
      <c r="U264" s="3" t="s">
        <v>568</v>
      </c>
      <c r="V264" s="3" t="s">
        <v>679</v>
      </c>
    </row>
    <row r="265" spans="2:22" s="2" customFormat="1" ht="18" hidden="1" customHeight="1" x14ac:dyDescent="0.2">
      <c r="B265" s="12">
        <f t="shared" si="13"/>
        <v>248</v>
      </c>
      <c r="C265" s="3" t="s">
        <v>16</v>
      </c>
      <c r="D265" s="3">
        <v>3400060</v>
      </c>
      <c r="E265" s="20" t="str">
        <f t="shared" si="12"/>
        <v>3400060</v>
      </c>
      <c r="F265" s="20"/>
      <c r="G265" s="20"/>
      <c r="H265" s="35">
        <v>3400060</v>
      </c>
      <c r="I265" s="3" t="s">
        <v>11</v>
      </c>
      <c r="J265" s="3" t="s">
        <v>115</v>
      </c>
      <c r="K265" s="20" t="s">
        <v>478</v>
      </c>
      <c r="L265" s="35"/>
      <c r="M265" s="20"/>
      <c r="N265" s="3" t="s">
        <v>284</v>
      </c>
      <c r="O265" s="3" t="s">
        <v>14</v>
      </c>
      <c r="P265" s="3"/>
      <c r="Q265" s="3" t="s">
        <v>21</v>
      </c>
      <c r="R265" s="3">
        <v>1</v>
      </c>
      <c r="S265" s="3" t="s">
        <v>15</v>
      </c>
      <c r="T265" s="3"/>
      <c r="U265" s="3" t="s">
        <v>571</v>
      </c>
      <c r="V265" s="3" t="s">
        <v>552</v>
      </c>
    </row>
    <row r="266" spans="2:22" s="2" customFormat="1" ht="18" hidden="1" customHeight="1" x14ac:dyDescent="0.2">
      <c r="B266" s="12">
        <f t="shared" si="13"/>
        <v>249</v>
      </c>
      <c r="C266" s="3" t="s">
        <v>16</v>
      </c>
      <c r="D266" s="3">
        <v>3400167</v>
      </c>
      <c r="E266" s="20" t="str">
        <f t="shared" si="12"/>
        <v>3400167</v>
      </c>
      <c r="F266" s="20"/>
      <c r="G266" s="20"/>
      <c r="H266" s="35">
        <v>3400167</v>
      </c>
      <c r="I266" s="3" t="s">
        <v>11</v>
      </c>
      <c r="J266" s="3" t="s">
        <v>91</v>
      </c>
      <c r="K266" s="20" t="s">
        <v>427</v>
      </c>
      <c r="L266" s="35"/>
      <c r="M266" s="20"/>
      <c r="N266" s="3" t="s">
        <v>92</v>
      </c>
      <c r="O266" s="3" t="s">
        <v>14</v>
      </c>
      <c r="P266" s="3"/>
      <c r="Q266" s="3" t="s">
        <v>21</v>
      </c>
      <c r="R266" s="3">
        <v>1</v>
      </c>
      <c r="S266" s="3" t="s">
        <v>15</v>
      </c>
      <c r="T266" s="3"/>
      <c r="U266" s="3" t="s">
        <v>568</v>
      </c>
      <c r="V266" s="3" t="s">
        <v>547</v>
      </c>
    </row>
    <row r="267" spans="2:22" s="2" customFormat="1" ht="18" hidden="1" customHeight="1" x14ac:dyDescent="0.2">
      <c r="B267" s="12">
        <f t="shared" si="13"/>
        <v>250</v>
      </c>
      <c r="C267" s="3" t="s">
        <v>16</v>
      </c>
      <c r="D267" s="3">
        <v>3400754</v>
      </c>
      <c r="E267" s="20" t="str">
        <f t="shared" si="12"/>
        <v>3400754</v>
      </c>
      <c r="F267" s="20"/>
      <c r="G267" s="20"/>
      <c r="H267" s="35">
        <v>3400754</v>
      </c>
      <c r="I267" s="3" t="s">
        <v>11</v>
      </c>
      <c r="J267" s="3" t="s">
        <v>285</v>
      </c>
      <c r="K267" s="20" t="s">
        <v>479</v>
      </c>
      <c r="L267" s="35"/>
      <c r="M267" s="20"/>
      <c r="N267" s="3" t="s">
        <v>286</v>
      </c>
      <c r="O267" s="3" t="s">
        <v>14</v>
      </c>
      <c r="P267" s="3"/>
      <c r="Q267" s="3" t="s">
        <v>190</v>
      </c>
      <c r="R267" s="3">
        <v>5</v>
      </c>
      <c r="S267" s="3" t="s">
        <v>15</v>
      </c>
      <c r="T267" s="3"/>
      <c r="U267" s="3" t="s">
        <v>547</v>
      </c>
      <c r="V267" s="3" t="s">
        <v>568</v>
      </c>
    </row>
    <row r="268" spans="2:22" s="2" customFormat="1" ht="18" hidden="1" customHeight="1" x14ac:dyDescent="0.2">
      <c r="B268" s="12">
        <f t="shared" si="13"/>
        <v>251</v>
      </c>
      <c r="C268" s="3" t="s">
        <v>16</v>
      </c>
      <c r="D268" s="3">
        <v>3400757</v>
      </c>
      <c r="E268" s="20" t="str">
        <f t="shared" si="12"/>
        <v>3400757</v>
      </c>
      <c r="F268" s="20"/>
      <c r="G268" s="20"/>
      <c r="H268" s="35">
        <v>3400757</v>
      </c>
      <c r="I268" s="3" t="s">
        <v>11</v>
      </c>
      <c r="J268" s="3" t="s">
        <v>23</v>
      </c>
      <c r="K268" s="20" t="s">
        <v>410</v>
      </c>
      <c r="L268" s="35"/>
      <c r="M268" s="20"/>
      <c r="N268" s="3" t="s">
        <v>287</v>
      </c>
      <c r="O268" s="3" t="s">
        <v>14</v>
      </c>
      <c r="P268" s="3"/>
      <c r="Q268" s="3" t="s">
        <v>21</v>
      </c>
      <c r="R268" s="3">
        <v>1</v>
      </c>
      <c r="S268" s="3" t="s">
        <v>15</v>
      </c>
      <c r="T268" s="3"/>
      <c r="U268" s="3" t="s">
        <v>547</v>
      </c>
      <c r="V268" s="3" t="s">
        <v>552</v>
      </c>
    </row>
    <row r="269" spans="2:22" s="2" customFormat="1" ht="18" hidden="1" customHeight="1" x14ac:dyDescent="0.2">
      <c r="B269" s="12">
        <f t="shared" si="13"/>
        <v>252</v>
      </c>
      <c r="C269" s="3" t="s">
        <v>16</v>
      </c>
      <c r="D269" s="3">
        <v>3400883</v>
      </c>
      <c r="E269" s="20" t="str">
        <f t="shared" si="12"/>
        <v>3400883</v>
      </c>
      <c r="F269" s="20"/>
      <c r="G269" s="20"/>
      <c r="H269" s="35">
        <v>3400883</v>
      </c>
      <c r="I269" s="3" t="s">
        <v>11</v>
      </c>
      <c r="J269" s="3" t="s">
        <v>34</v>
      </c>
      <c r="K269" s="20" t="s">
        <v>418</v>
      </c>
      <c r="L269" s="35"/>
      <c r="M269" s="20"/>
      <c r="N269" s="3" t="s">
        <v>288</v>
      </c>
      <c r="O269" s="3" t="s">
        <v>14</v>
      </c>
      <c r="P269" s="3"/>
      <c r="Q269" s="3" t="s">
        <v>21</v>
      </c>
      <c r="R269" s="3">
        <v>1</v>
      </c>
      <c r="S269" s="3" t="s">
        <v>15</v>
      </c>
      <c r="T269" s="3"/>
      <c r="U269" s="3" t="s">
        <v>568</v>
      </c>
      <c r="V269" s="3" t="s">
        <v>568</v>
      </c>
    </row>
    <row r="270" spans="2:22" s="2" customFormat="1" ht="18" hidden="1" customHeight="1" x14ac:dyDescent="0.2">
      <c r="B270" s="12">
        <f t="shared" si="13"/>
        <v>253</v>
      </c>
      <c r="C270" s="3" t="s">
        <v>16</v>
      </c>
      <c r="D270" s="3">
        <v>3401043</v>
      </c>
      <c r="E270" s="20" t="str">
        <f t="shared" ref="E270:E314" si="14">TRIM(D270)</f>
        <v>3401043</v>
      </c>
      <c r="F270" s="20"/>
      <c r="G270" s="20"/>
      <c r="H270" s="35">
        <v>3401043</v>
      </c>
      <c r="I270" s="3" t="s">
        <v>11</v>
      </c>
      <c r="J270" s="3" t="s">
        <v>65</v>
      </c>
      <c r="K270" s="20" t="s">
        <v>424</v>
      </c>
      <c r="L270" s="35"/>
      <c r="M270" s="20"/>
      <c r="N270" s="3" t="s">
        <v>289</v>
      </c>
      <c r="O270" s="3" t="s">
        <v>14</v>
      </c>
      <c r="P270" s="3"/>
      <c r="Q270" s="3" t="s">
        <v>211</v>
      </c>
      <c r="R270" s="3">
        <v>12</v>
      </c>
      <c r="S270" s="3" t="s">
        <v>15</v>
      </c>
      <c r="T270" s="3"/>
      <c r="U270" s="3" t="s">
        <v>552</v>
      </c>
      <c r="V270" s="3" t="s">
        <v>552</v>
      </c>
    </row>
    <row r="271" spans="2:22" s="2" customFormat="1" ht="18" hidden="1" customHeight="1" x14ac:dyDescent="0.2">
      <c r="B271" s="12">
        <f t="shared" si="13"/>
        <v>254</v>
      </c>
      <c r="C271" s="3" t="s">
        <v>16</v>
      </c>
      <c r="D271" s="3">
        <v>3401883</v>
      </c>
      <c r="E271" s="20" t="str">
        <f t="shared" si="14"/>
        <v>3401883</v>
      </c>
      <c r="F271" s="20"/>
      <c r="G271" s="20"/>
      <c r="H271" s="35">
        <v>3401883</v>
      </c>
      <c r="I271" s="3" t="s">
        <v>11</v>
      </c>
      <c r="J271" s="3" t="s">
        <v>23</v>
      </c>
      <c r="K271" s="20" t="s">
        <v>410</v>
      </c>
      <c r="L271" s="35"/>
      <c r="M271" s="20"/>
      <c r="N271" s="3" t="s">
        <v>290</v>
      </c>
      <c r="O271" s="3" t="s">
        <v>14</v>
      </c>
      <c r="P271" s="3"/>
      <c r="Q271" s="3" t="s">
        <v>21</v>
      </c>
      <c r="R271" s="3">
        <v>1</v>
      </c>
      <c r="S271" s="3" t="s">
        <v>15</v>
      </c>
      <c r="T271" s="3"/>
      <c r="U271" s="3" t="s">
        <v>547</v>
      </c>
      <c r="V271" s="3" t="s">
        <v>568</v>
      </c>
    </row>
    <row r="272" spans="2:22" s="2" customFormat="1" ht="18" hidden="1" customHeight="1" x14ac:dyDescent="0.2">
      <c r="B272" s="12">
        <f t="shared" si="13"/>
        <v>255</v>
      </c>
      <c r="C272" s="3" t="s">
        <v>16</v>
      </c>
      <c r="D272" s="3">
        <v>3402836</v>
      </c>
      <c r="E272" s="20" t="str">
        <f t="shared" si="14"/>
        <v>3402836</v>
      </c>
      <c r="F272" s="20"/>
      <c r="G272" s="20"/>
      <c r="H272" s="35">
        <v>3402836</v>
      </c>
      <c r="I272" s="3" t="s">
        <v>11</v>
      </c>
      <c r="J272" s="3" t="s">
        <v>60</v>
      </c>
      <c r="K272" s="20" t="s">
        <v>422</v>
      </c>
      <c r="L272" s="35"/>
      <c r="M272" s="20"/>
      <c r="N272" s="3" t="s">
        <v>263</v>
      </c>
      <c r="O272" s="3" t="s">
        <v>14</v>
      </c>
      <c r="P272" s="3"/>
      <c r="Q272" s="3" t="s">
        <v>21</v>
      </c>
      <c r="R272" s="3">
        <v>1</v>
      </c>
      <c r="S272" s="3" t="s">
        <v>15</v>
      </c>
      <c r="T272" s="3"/>
      <c r="U272" s="3" t="s">
        <v>552</v>
      </c>
      <c r="V272" s="3" t="s">
        <v>568</v>
      </c>
    </row>
    <row r="273" spans="2:22" s="2" customFormat="1" ht="18" hidden="1" customHeight="1" x14ac:dyDescent="0.2">
      <c r="B273" s="12">
        <f t="shared" si="13"/>
        <v>256</v>
      </c>
      <c r="C273" s="3" t="s">
        <v>16</v>
      </c>
      <c r="D273" s="3">
        <v>3402853</v>
      </c>
      <c r="E273" s="20" t="str">
        <f t="shared" si="14"/>
        <v>3402853</v>
      </c>
      <c r="F273" s="20"/>
      <c r="G273" s="20"/>
      <c r="H273" s="35">
        <v>3402853</v>
      </c>
      <c r="I273" s="3" t="s">
        <v>11</v>
      </c>
      <c r="J273" s="3" t="s">
        <v>226</v>
      </c>
      <c r="K273" s="20" t="s">
        <v>461</v>
      </c>
      <c r="L273" s="35"/>
      <c r="M273" s="20"/>
      <c r="N273" s="3" t="s">
        <v>291</v>
      </c>
      <c r="O273" s="3" t="s">
        <v>14</v>
      </c>
      <c r="P273" s="3"/>
      <c r="Q273" s="3" t="s">
        <v>21</v>
      </c>
      <c r="R273" s="3">
        <v>1</v>
      </c>
      <c r="S273" s="3" t="s">
        <v>15</v>
      </c>
      <c r="T273" s="3"/>
      <c r="U273" s="3" t="s">
        <v>678</v>
      </c>
      <c r="V273" s="3" t="s">
        <v>552</v>
      </c>
    </row>
    <row r="274" spans="2:22" s="2" customFormat="1" ht="18" hidden="1" customHeight="1" x14ac:dyDescent="0.2">
      <c r="B274" s="12">
        <f t="shared" si="13"/>
        <v>257</v>
      </c>
      <c r="C274" s="3" t="s">
        <v>16</v>
      </c>
      <c r="D274" s="3">
        <v>3402873</v>
      </c>
      <c r="E274" s="20" t="str">
        <f t="shared" si="14"/>
        <v>3402873</v>
      </c>
      <c r="F274" s="20"/>
      <c r="G274" s="20"/>
      <c r="H274" s="35">
        <v>3402873</v>
      </c>
      <c r="I274" s="3" t="s">
        <v>11</v>
      </c>
      <c r="J274" s="3" t="s">
        <v>60</v>
      </c>
      <c r="K274" s="20" t="s">
        <v>422</v>
      </c>
      <c r="L274" s="35"/>
      <c r="M274" s="20"/>
      <c r="N274" s="3" t="s">
        <v>292</v>
      </c>
      <c r="O274" s="3" t="s">
        <v>14</v>
      </c>
      <c r="P274" s="3"/>
      <c r="Q274" s="3" t="s">
        <v>74</v>
      </c>
      <c r="R274" s="3">
        <v>3</v>
      </c>
      <c r="S274" s="3" t="s">
        <v>15</v>
      </c>
      <c r="T274" s="3"/>
      <c r="U274" s="3" t="s">
        <v>678</v>
      </c>
      <c r="V274" s="3" t="s">
        <v>346</v>
      </c>
    </row>
    <row r="275" spans="2:22" s="2" customFormat="1" ht="18" hidden="1" customHeight="1" x14ac:dyDescent="0.2">
      <c r="B275" s="12">
        <f t="shared" si="13"/>
        <v>258</v>
      </c>
      <c r="C275" s="3" t="s">
        <v>16</v>
      </c>
      <c r="D275" s="3">
        <v>3402930</v>
      </c>
      <c r="E275" s="20" t="str">
        <f t="shared" si="14"/>
        <v>3402930</v>
      </c>
      <c r="F275" s="20"/>
      <c r="G275" s="20"/>
      <c r="H275" s="35">
        <v>3402930</v>
      </c>
      <c r="I275" s="3" t="s">
        <v>11</v>
      </c>
      <c r="J275" s="3" t="s">
        <v>293</v>
      </c>
      <c r="K275" s="20" t="s">
        <v>480</v>
      </c>
      <c r="L275" s="35"/>
      <c r="M275" s="20"/>
      <c r="N275" s="3" t="s">
        <v>294</v>
      </c>
      <c r="O275" s="3" t="s">
        <v>14</v>
      </c>
      <c r="P275" s="3"/>
      <c r="Q275" s="3" t="s">
        <v>21</v>
      </c>
      <c r="R275" s="3">
        <v>1</v>
      </c>
      <c r="S275" s="3" t="s">
        <v>15</v>
      </c>
      <c r="T275" s="3"/>
      <c r="U275" s="3" t="s">
        <v>568</v>
      </c>
      <c r="V275" s="3" t="s">
        <v>547</v>
      </c>
    </row>
    <row r="276" spans="2:22" s="2" customFormat="1" ht="18" hidden="1" customHeight="1" x14ac:dyDescent="0.2">
      <c r="B276" s="12">
        <f t="shared" si="13"/>
        <v>259</v>
      </c>
      <c r="C276" s="3" t="s">
        <v>16</v>
      </c>
      <c r="D276" s="3">
        <v>3402935</v>
      </c>
      <c r="E276" s="20" t="str">
        <f t="shared" si="14"/>
        <v>3402935</v>
      </c>
      <c r="F276" s="20"/>
      <c r="G276" s="20"/>
      <c r="H276" s="35">
        <v>3402935</v>
      </c>
      <c r="I276" s="3" t="s">
        <v>11</v>
      </c>
      <c r="J276" s="3" t="s">
        <v>23</v>
      </c>
      <c r="K276" s="20" t="s">
        <v>410</v>
      </c>
      <c r="L276" s="35"/>
      <c r="M276" s="20"/>
      <c r="N276" s="3" t="s">
        <v>259</v>
      </c>
      <c r="O276" s="3" t="s">
        <v>14</v>
      </c>
      <c r="P276" s="3"/>
      <c r="Q276" s="3" t="s">
        <v>190</v>
      </c>
      <c r="R276" s="3">
        <v>5</v>
      </c>
      <c r="S276" s="3" t="s">
        <v>15</v>
      </c>
      <c r="T276" s="3"/>
      <c r="U276" s="3" t="s">
        <v>346</v>
      </c>
      <c r="V276" s="3" t="s">
        <v>346</v>
      </c>
    </row>
    <row r="277" spans="2:22" s="2" customFormat="1" ht="18" hidden="1" customHeight="1" x14ac:dyDescent="0.2">
      <c r="B277" s="12">
        <f t="shared" ref="B277:B314" si="15">B276+1</f>
        <v>260</v>
      </c>
      <c r="C277" s="3" t="s">
        <v>16</v>
      </c>
      <c r="D277" s="3">
        <v>3402936</v>
      </c>
      <c r="E277" s="20" t="str">
        <f t="shared" si="14"/>
        <v>3402936</v>
      </c>
      <c r="F277" s="20"/>
      <c r="G277" s="20"/>
      <c r="H277" s="35">
        <v>3402936</v>
      </c>
      <c r="I277" s="3" t="s">
        <v>11</v>
      </c>
      <c r="J277" s="3" t="s">
        <v>23</v>
      </c>
      <c r="K277" s="20" t="s">
        <v>410</v>
      </c>
      <c r="L277" s="35"/>
      <c r="M277" s="20"/>
      <c r="N277" s="3" t="s">
        <v>295</v>
      </c>
      <c r="O277" s="3" t="s">
        <v>14</v>
      </c>
      <c r="P277" s="3"/>
      <c r="Q277" s="3" t="s">
        <v>21</v>
      </c>
      <c r="R277" s="3">
        <v>1</v>
      </c>
      <c r="S277" s="3" t="s">
        <v>15</v>
      </c>
      <c r="T277" s="3"/>
      <c r="U277" s="3" t="s">
        <v>552</v>
      </c>
      <c r="V277" s="3" t="s">
        <v>346</v>
      </c>
    </row>
    <row r="278" spans="2:22" s="2" customFormat="1" ht="18" hidden="1" customHeight="1" x14ac:dyDescent="0.2">
      <c r="B278" s="12">
        <f t="shared" si="15"/>
        <v>261</v>
      </c>
      <c r="C278" s="3" t="s">
        <v>16</v>
      </c>
      <c r="D278" s="3">
        <v>400000508</v>
      </c>
      <c r="E278" s="20" t="str">
        <f t="shared" si="14"/>
        <v>400000508</v>
      </c>
      <c r="F278" s="20"/>
      <c r="G278" s="20"/>
      <c r="H278" s="35">
        <v>400000508</v>
      </c>
      <c r="I278" s="3" t="s">
        <v>11</v>
      </c>
      <c r="J278" s="3" t="s">
        <v>23</v>
      </c>
      <c r="K278" s="20" t="s">
        <v>410</v>
      </c>
      <c r="L278" s="35"/>
      <c r="M278" s="20"/>
      <c r="N278" s="3" t="s">
        <v>296</v>
      </c>
      <c r="O278" s="3" t="s">
        <v>14</v>
      </c>
      <c r="P278" s="3"/>
      <c r="Q278" s="3" t="s">
        <v>55</v>
      </c>
      <c r="R278" s="3">
        <v>4</v>
      </c>
      <c r="S278" s="3" t="s">
        <v>15</v>
      </c>
      <c r="T278" s="3"/>
      <c r="U278" s="3" t="s">
        <v>551</v>
      </c>
      <c r="V278" s="3" t="s">
        <v>571</v>
      </c>
    </row>
    <row r="279" spans="2:22" s="2" customFormat="1" ht="18" hidden="1" customHeight="1" x14ac:dyDescent="0.2">
      <c r="B279" s="12">
        <f t="shared" si="15"/>
        <v>262</v>
      </c>
      <c r="C279" s="3" t="s">
        <v>16</v>
      </c>
      <c r="D279" s="3">
        <v>400000566</v>
      </c>
      <c r="E279" s="20" t="str">
        <f t="shared" si="14"/>
        <v>400000566</v>
      </c>
      <c r="F279" s="20"/>
      <c r="G279" s="20"/>
      <c r="H279" s="35">
        <v>400000566</v>
      </c>
      <c r="I279" s="3" t="s">
        <v>11</v>
      </c>
      <c r="J279" s="3" t="s">
        <v>23</v>
      </c>
      <c r="K279" s="20" t="s">
        <v>410</v>
      </c>
      <c r="L279" s="35"/>
      <c r="M279" s="20"/>
      <c r="N279" s="3" t="s">
        <v>297</v>
      </c>
      <c r="O279" s="3" t="s">
        <v>14</v>
      </c>
      <c r="P279" s="3"/>
      <c r="Q279" s="3" t="s">
        <v>200</v>
      </c>
      <c r="R279" s="3">
        <v>6</v>
      </c>
      <c r="S279" s="3" t="s">
        <v>15</v>
      </c>
      <c r="T279" s="3"/>
      <c r="U279" s="3" t="s">
        <v>552</v>
      </c>
      <c r="V279" s="3" t="s">
        <v>552</v>
      </c>
    </row>
    <row r="280" spans="2:22" s="2" customFormat="1" ht="18" hidden="1" customHeight="1" x14ac:dyDescent="0.2">
      <c r="B280" s="12">
        <f t="shared" si="15"/>
        <v>263</v>
      </c>
      <c r="C280" s="20" t="s">
        <v>16</v>
      </c>
      <c r="D280" s="20">
        <v>4001168</v>
      </c>
      <c r="E280" s="20" t="str">
        <f t="shared" si="14"/>
        <v>4001168</v>
      </c>
      <c r="F280" s="20"/>
      <c r="G280" s="20"/>
      <c r="H280" s="35">
        <v>4001168</v>
      </c>
      <c r="I280" s="20" t="s">
        <v>11</v>
      </c>
      <c r="J280" s="20" t="s">
        <v>298</v>
      </c>
      <c r="K280" s="20" t="s">
        <v>481</v>
      </c>
      <c r="L280" s="35"/>
      <c r="M280" s="20"/>
      <c r="N280" s="20" t="s">
        <v>299</v>
      </c>
      <c r="O280" s="20" t="s">
        <v>14</v>
      </c>
      <c r="P280" s="20"/>
      <c r="Q280" s="20" t="s">
        <v>132</v>
      </c>
      <c r="R280" s="20">
        <v>8</v>
      </c>
      <c r="S280" s="20" t="s">
        <v>15</v>
      </c>
      <c r="T280" s="20"/>
      <c r="U280" s="20" t="s">
        <v>568</v>
      </c>
      <c r="V280" s="20" t="s">
        <v>568</v>
      </c>
    </row>
    <row r="281" spans="2:22" s="2" customFormat="1" ht="18" hidden="1" customHeight="1" x14ac:dyDescent="0.2">
      <c r="B281" s="12">
        <f t="shared" si="15"/>
        <v>264</v>
      </c>
      <c r="C281" s="3" t="s">
        <v>16</v>
      </c>
      <c r="D281" s="3">
        <v>4001170</v>
      </c>
      <c r="E281" s="20" t="str">
        <f t="shared" si="14"/>
        <v>4001170</v>
      </c>
      <c r="F281" s="20"/>
      <c r="G281" s="20"/>
      <c r="H281" s="35">
        <v>4001170</v>
      </c>
      <c r="I281" s="3" t="s">
        <v>11</v>
      </c>
      <c r="J281" s="3" t="s">
        <v>300</v>
      </c>
      <c r="K281" s="20" t="s">
        <v>482</v>
      </c>
      <c r="L281" s="35"/>
      <c r="M281" s="20"/>
      <c r="N281" s="3" t="s">
        <v>301</v>
      </c>
      <c r="O281" s="3" t="s">
        <v>14</v>
      </c>
      <c r="P281" s="3"/>
      <c r="Q281" s="3" t="s">
        <v>55</v>
      </c>
      <c r="R281" s="3">
        <v>4</v>
      </c>
      <c r="S281" s="3" t="s">
        <v>15</v>
      </c>
      <c r="T281" s="3"/>
      <c r="U281" s="3" t="s">
        <v>551</v>
      </c>
      <c r="V281" s="3" t="s">
        <v>677</v>
      </c>
    </row>
    <row r="282" spans="2:22" s="2" customFormat="1" ht="18" customHeight="1" x14ac:dyDescent="0.2">
      <c r="B282" s="19">
        <f t="shared" si="15"/>
        <v>265</v>
      </c>
      <c r="C282" s="18" t="s">
        <v>16</v>
      </c>
      <c r="D282" s="18">
        <v>440000185</v>
      </c>
      <c r="E282" s="18" t="str">
        <f t="shared" si="14"/>
        <v>440000185</v>
      </c>
      <c r="F282" s="18"/>
      <c r="G282" s="18"/>
      <c r="H282" s="35">
        <v>440000185</v>
      </c>
      <c r="I282" s="18" t="s">
        <v>11</v>
      </c>
      <c r="J282" s="18" t="s">
        <v>302</v>
      </c>
      <c r="K282" s="18" t="s">
        <v>483</v>
      </c>
      <c r="L282" s="35" t="s">
        <v>680</v>
      </c>
      <c r="M282" s="18" t="s">
        <v>681</v>
      </c>
      <c r="N282" s="18" t="s">
        <v>303</v>
      </c>
      <c r="O282" s="18" t="s">
        <v>14</v>
      </c>
      <c r="P282" s="18"/>
      <c r="Q282" s="18" t="s">
        <v>18</v>
      </c>
      <c r="R282" s="18">
        <v>2</v>
      </c>
      <c r="S282" s="18" t="s">
        <v>38</v>
      </c>
      <c r="T282" s="18"/>
      <c r="U282" s="18" t="s">
        <v>551</v>
      </c>
      <c r="V282" s="18" t="s">
        <v>677</v>
      </c>
    </row>
    <row r="283" spans="2:22" s="2" customFormat="1" ht="18" hidden="1" customHeight="1" x14ac:dyDescent="0.2">
      <c r="B283" s="12">
        <f t="shared" si="15"/>
        <v>266</v>
      </c>
      <c r="C283" s="3" t="s">
        <v>16</v>
      </c>
      <c r="D283" s="3">
        <v>440000287</v>
      </c>
      <c r="E283" s="20" t="str">
        <f t="shared" si="14"/>
        <v>440000287</v>
      </c>
      <c r="F283" s="20"/>
      <c r="G283" s="20"/>
      <c r="H283" s="35">
        <v>440000287</v>
      </c>
      <c r="I283" s="3" t="s">
        <v>11</v>
      </c>
      <c r="J283" s="3" t="s">
        <v>304</v>
      </c>
      <c r="K283" s="20" t="s">
        <v>484</v>
      </c>
      <c r="L283" s="35"/>
      <c r="M283" s="20"/>
      <c r="N283" s="3" t="s">
        <v>682</v>
      </c>
      <c r="O283" s="3" t="s">
        <v>14</v>
      </c>
      <c r="P283" s="3"/>
      <c r="Q283" s="3" t="s">
        <v>55</v>
      </c>
      <c r="R283" s="3">
        <v>4</v>
      </c>
      <c r="S283" s="3" t="s">
        <v>15</v>
      </c>
      <c r="T283" s="3"/>
      <c r="U283" s="3" t="s">
        <v>551</v>
      </c>
      <c r="V283" s="3" t="s">
        <v>677</v>
      </c>
    </row>
    <row r="284" spans="2:22" s="2" customFormat="1" ht="18" hidden="1" customHeight="1" x14ac:dyDescent="0.2">
      <c r="B284" s="12">
        <f t="shared" si="15"/>
        <v>267</v>
      </c>
      <c r="C284" s="3" t="s">
        <v>16</v>
      </c>
      <c r="D284" s="3">
        <v>4400029</v>
      </c>
      <c r="E284" s="20" t="str">
        <f t="shared" si="14"/>
        <v>4400029</v>
      </c>
      <c r="F284" s="20"/>
      <c r="G284" s="20"/>
      <c r="H284" s="35">
        <v>4400029</v>
      </c>
      <c r="I284" s="3" t="s">
        <v>11</v>
      </c>
      <c r="J284" s="3" t="s">
        <v>305</v>
      </c>
      <c r="K284" s="20" t="s">
        <v>485</v>
      </c>
      <c r="L284" s="35"/>
      <c r="M284" s="20"/>
      <c r="N284" s="3" t="s">
        <v>683</v>
      </c>
      <c r="O284" s="3" t="s">
        <v>14</v>
      </c>
      <c r="P284" s="3"/>
      <c r="Q284" s="3" t="s">
        <v>200</v>
      </c>
      <c r="R284" s="3">
        <v>6</v>
      </c>
      <c r="S284" s="3" t="s">
        <v>15</v>
      </c>
      <c r="T284" s="3"/>
      <c r="U284" s="3" t="s">
        <v>568</v>
      </c>
      <c r="V284" s="3" t="s">
        <v>677</v>
      </c>
    </row>
    <row r="285" spans="2:22" s="2" customFormat="1" ht="18" customHeight="1" x14ac:dyDescent="0.2">
      <c r="B285" s="19">
        <f t="shared" si="15"/>
        <v>268</v>
      </c>
      <c r="C285" s="18" t="s">
        <v>16</v>
      </c>
      <c r="D285" s="18">
        <v>4400033</v>
      </c>
      <c r="E285" s="18" t="str">
        <f t="shared" si="14"/>
        <v>4400033</v>
      </c>
      <c r="F285" s="18"/>
      <c r="G285" s="18"/>
      <c r="H285" s="35">
        <v>4400033</v>
      </c>
      <c r="I285" s="18" t="s">
        <v>11</v>
      </c>
      <c r="J285" s="18" t="s">
        <v>293</v>
      </c>
      <c r="K285" s="18" t="s">
        <v>482</v>
      </c>
      <c r="L285" s="35" t="s">
        <v>680</v>
      </c>
      <c r="M285" s="18" t="s">
        <v>684</v>
      </c>
      <c r="N285" s="18" t="s">
        <v>685</v>
      </c>
      <c r="O285" s="18" t="s">
        <v>14</v>
      </c>
      <c r="P285" s="18"/>
      <c r="Q285" s="18" t="s">
        <v>200</v>
      </c>
      <c r="R285" s="18">
        <v>6</v>
      </c>
      <c r="S285" s="18" t="s">
        <v>38</v>
      </c>
      <c r="T285" s="18"/>
      <c r="U285" s="18" t="s">
        <v>677</v>
      </c>
      <c r="V285" s="18" t="s">
        <v>551</v>
      </c>
    </row>
    <row r="286" spans="2:22" s="2" customFormat="1" ht="18" hidden="1" customHeight="1" x14ac:dyDescent="0.2">
      <c r="B286" s="12">
        <f t="shared" si="15"/>
        <v>269</v>
      </c>
      <c r="C286" s="3" t="s">
        <v>16</v>
      </c>
      <c r="D286" s="3">
        <v>4400035</v>
      </c>
      <c r="E286" s="20" t="str">
        <f t="shared" si="14"/>
        <v>4400035</v>
      </c>
      <c r="F286" s="20"/>
      <c r="G286" s="20"/>
      <c r="H286" s="35">
        <v>4400035</v>
      </c>
      <c r="I286" s="3" t="s">
        <v>11</v>
      </c>
      <c r="J286" s="3" t="s">
        <v>306</v>
      </c>
      <c r="K286" s="20" t="s">
        <v>486</v>
      </c>
      <c r="L286" s="35"/>
      <c r="M286" s="20"/>
      <c r="N286" s="3" t="s">
        <v>686</v>
      </c>
      <c r="O286" s="3" t="s">
        <v>14</v>
      </c>
      <c r="P286" s="3"/>
      <c r="Q286" s="3" t="s">
        <v>200</v>
      </c>
      <c r="R286" s="3">
        <v>6</v>
      </c>
      <c r="S286" s="3" t="s">
        <v>15</v>
      </c>
      <c r="T286" s="3"/>
      <c r="U286" s="3" t="s">
        <v>568</v>
      </c>
      <c r="V286" s="3" t="s">
        <v>568</v>
      </c>
    </row>
    <row r="287" spans="2:22" s="2" customFormat="1" ht="18" hidden="1" customHeight="1" x14ac:dyDescent="0.2">
      <c r="B287" s="12">
        <f t="shared" si="15"/>
        <v>270</v>
      </c>
      <c r="C287" s="3" t="s">
        <v>16</v>
      </c>
      <c r="D287" s="3">
        <v>4400074</v>
      </c>
      <c r="E287" s="20" t="str">
        <f t="shared" si="14"/>
        <v>4400074</v>
      </c>
      <c r="F287" s="20"/>
      <c r="G287" s="20"/>
      <c r="H287" s="35">
        <v>4400074</v>
      </c>
      <c r="I287" s="3" t="s">
        <v>11</v>
      </c>
      <c r="J287" s="3" t="s">
        <v>32</v>
      </c>
      <c r="K287" s="20" t="s">
        <v>413</v>
      </c>
      <c r="L287" s="35"/>
      <c r="M287" s="20"/>
      <c r="N287" s="3" t="s">
        <v>307</v>
      </c>
      <c r="O287" s="3" t="s">
        <v>14</v>
      </c>
      <c r="P287" s="3"/>
      <c r="Q287" s="3" t="s">
        <v>55</v>
      </c>
      <c r="R287" s="3">
        <v>4</v>
      </c>
      <c r="S287" s="3" t="s">
        <v>15</v>
      </c>
      <c r="T287" s="3"/>
      <c r="U287" s="3" t="s">
        <v>551</v>
      </c>
      <c r="V287" s="3" t="s">
        <v>568</v>
      </c>
    </row>
    <row r="288" spans="2:22" s="2" customFormat="1" ht="18" hidden="1" customHeight="1" x14ac:dyDescent="0.2">
      <c r="B288" s="12">
        <f t="shared" si="15"/>
        <v>271</v>
      </c>
      <c r="C288" s="3" t="s">
        <v>16</v>
      </c>
      <c r="D288" s="3">
        <v>4400092</v>
      </c>
      <c r="E288" s="20" t="str">
        <f t="shared" si="14"/>
        <v>4400092</v>
      </c>
      <c r="F288" s="20"/>
      <c r="G288" s="20"/>
      <c r="H288" s="35">
        <v>4400092</v>
      </c>
      <c r="I288" s="3" t="s">
        <v>11</v>
      </c>
      <c r="J288" s="3" t="s">
        <v>50</v>
      </c>
      <c r="K288" s="20" t="s">
        <v>417</v>
      </c>
      <c r="L288" s="35"/>
      <c r="M288" s="20"/>
      <c r="N288" s="3" t="s">
        <v>308</v>
      </c>
      <c r="O288" s="3" t="s">
        <v>14</v>
      </c>
      <c r="P288" s="3"/>
      <c r="Q288" s="3" t="s">
        <v>132</v>
      </c>
      <c r="R288" s="3">
        <v>8</v>
      </c>
      <c r="S288" s="3" t="s">
        <v>15</v>
      </c>
      <c r="T288" s="3"/>
      <c r="U288" s="3" t="s">
        <v>568</v>
      </c>
      <c r="V288" s="3" t="s">
        <v>568</v>
      </c>
    </row>
    <row r="289" spans="2:22" s="2" customFormat="1" ht="18" hidden="1" customHeight="1" x14ac:dyDescent="0.2">
      <c r="B289" s="12">
        <f t="shared" si="15"/>
        <v>272</v>
      </c>
      <c r="C289" s="3" t="s">
        <v>16</v>
      </c>
      <c r="D289" s="3">
        <v>4400138</v>
      </c>
      <c r="E289" s="20" t="str">
        <f t="shared" si="14"/>
        <v>4400138</v>
      </c>
      <c r="F289" s="20"/>
      <c r="G289" s="20"/>
      <c r="H289" s="35">
        <v>4400138</v>
      </c>
      <c r="I289" s="3" t="s">
        <v>11</v>
      </c>
      <c r="J289" s="3" t="s">
        <v>309</v>
      </c>
      <c r="K289" s="20" t="s">
        <v>487</v>
      </c>
      <c r="L289" s="35"/>
      <c r="M289" s="20"/>
      <c r="N289" s="3" t="s">
        <v>310</v>
      </c>
      <c r="O289" s="3" t="s">
        <v>14</v>
      </c>
      <c r="P289" s="3"/>
      <c r="Q289" s="3" t="s">
        <v>200</v>
      </c>
      <c r="R289" s="3">
        <v>6</v>
      </c>
      <c r="S289" s="3" t="s">
        <v>15</v>
      </c>
      <c r="T289" s="3"/>
      <c r="U289" s="3" t="s">
        <v>547</v>
      </c>
      <c r="V289" s="3" t="s">
        <v>547</v>
      </c>
    </row>
    <row r="290" spans="2:22" s="2" customFormat="1" ht="18" hidden="1" customHeight="1" x14ac:dyDescent="0.2">
      <c r="B290" s="12">
        <f t="shared" si="15"/>
        <v>273</v>
      </c>
      <c r="C290" s="3" t="s">
        <v>16</v>
      </c>
      <c r="D290" s="3">
        <v>4400142</v>
      </c>
      <c r="E290" s="20" t="str">
        <f t="shared" si="14"/>
        <v>4400142</v>
      </c>
      <c r="F290" s="20"/>
      <c r="G290" s="20"/>
      <c r="H290" s="35">
        <v>4400142</v>
      </c>
      <c r="I290" s="3" t="s">
        <v>11</v>
      </c>
      <c r="J290" s="3" t="s">
        <v>305</v>
      </c>
      <c r="K290" s="20" t="s">
        <v>485</v>
      </c>
      <c r="L290" s="35"/>
      <c r="M290" s="20"/>
      <c r="N290" s="3" t="s">
        <v>311</v>
      </c>
      <c r="O290" s="3" t="s">
        <v>14</v>
      </c>
      <c r="P290" s="3"/>
      <c r="Q290" s="3" t="s">
        <v>21</v>
      </c>
      <c r="R290" s="3">
        <v>1</v>
      </c>
      <c r="S290" s="3" t="s">
        <v>15</v>
      </c>
      <c r="T290" s="3"/>
      <c r="U290" s="3" t="s">
        <v>552</v>
      </c>
      <c r="V290" s="3" t="s">
        <v>568</v>
      </c>
    </row>
    <row r="291" spans="2:22" s="2" customFormat="1" ht="18" hidden="1" customHeight="1" x14ac:dyDescent="0.2">
      <c r="B291" s="12">
        <f t="shared" si="15"/>
        <v>274</v>
      </c>
      <c r="C291" s="3" t="s">
        <v>16</v>
      </c>
      <c r="D291" s="3">
        <v>4400154</v>
      </c>
      <c r="E291" s="20" t="str">
        <f t="shared" si="14"/>
        <v>4400154</v>
      </c>
      <c r="F291" s="20"/>
      <c r="G291" s="20"/>
      <c r="H291" s="35">
        <v>4400154</v>
      </c>
      <c r="I291" s="3" t="s">
        <v>11</v>
      </c>
      <c r="J291" s="3" t="s">
        <v>306</v>
      </c>
      <c r="K291" s="20" t="s">
        <v>486</v>
      </c>
      <c r="L291" s="35"/>
      <c r="M291" s="20"/>
      <c r="N291" s="3" t="s">
        <v>312</v>
      </c>
      <c r="O291" s="3" t="s">
        <v>14</v>
      </c>
      <c r="P291" s="3"/>
      <c r="Q291" s="3" t="s">
        <v>209</v>
      </c>
      <c r="R291" s="3">
        <v>16</v>
      </c>
      <c r="S291" s="3" t="s">
        <v>15</v>
      </c>
      <c r="T291" s="3"/>
      <c r="U291" s="3" t="s">
        <v>568</v>
      </c>
      <c r="V291" s="3" t="s">
        <v>571</v>
      </c>
    </row>
    <row r="292" spans="2:22" s="2" customFormat="1" ht="18" hidden="1" customHeight="1" x14ac:dyDescent="0.2">
      <c r="B292" s="12">
        <f t="shared" si="15"/>
        <v>275</v>
      </c>
      <c r="C292" s="3" t="s">
        <v>16</v>
      </c>
      <c r="D292" s="3">
        <v>4400211</v>
      </c>
      <c r="E292" s="20" t="str">
        <f t="shared" si="14"/>
        <v>4400211</v>
      </c>
      <c r="F292" s="20"/>
      <c r="G292" s="20"/>
      <c r="H292" s="35">
        <v>4400211</v>
      </c>
      <c r="I292" s="3" t="s">
        <v>11</v>
      </c>
      <c r="J292" s="3" t="s">
        <v>50</v>
      </c>
      <c r="K292" s="20" t="s">
        <v>417</v>
      </c>
      <c r="L292" s="35"/>
      <c r="M292" s="20"/>
      <c r="N292" s="3" t="s">
        <v>313</v>
      </c>
      <c r="O292" s="3" t="s">
        <v>14</v>
      </c>
      <c r="P292" s="3"/>
      <c r="Q292" s="3" t="s">
        <v>209</v>
      </c>
      <c r="R292" s="3">
        <v>16</v>
      </c>
      <c r="S292" s="3" t="s">
        <v>15</v>
      </c>
      <c r="T292" s="3"/>
      <c r="U292" s="3" t="s">
        <v>552</v>
      </c>
      <c r="V292" s="3" t="s">
        <v>547</v>
      </c>
    </row>
    <row r="293" spans="2:22" s="2" customFormat="1" ht="18" hidden="1" customHeight="1" x14ac:dyDescent="0.2">
      <c r="B293" s="12">
        <f t="shared" si="15"/>
        <v>276</v>
      </c>
      <c r="C293" s="3" t="s">
        <v>16</v>
      </c>
      <c r="D293" s="3">
        <v>4400302</v>
      </c>
      <c r="E293" s="20" t="str">
        <f t="shared" si="14"/>
        <v>4400302</v>
      </c>
      <c r="F293" s="20"/>
      <c r="G293" s="20"/>
      <c r="H293" s="35">
        <v>4400302</v>
      </c>
      <c r="I293" s="3" t="s">
        <v>11</v>
      </c>
      <c r="J293" s="3" t="s">
        <v>314</v>
      </c>
      <c r="K293" s="20" t="s">
        <v>488</v>
      </c>
      <c r="L293" s="35"/>
      <c r="M293" s="20"/>
      <c r="N293" s="3" t="s">
        <v>315</v>
      </c>
      <c r="O293" s="3" t="s">
        <v>14</v>
      </c>
      <c r="P293" s="3"/>
      <c r="Q293" s="3" t="s">
        <v>132</v>
      </c>
      <c r="R293" s="3">
        <v>8</v>
      </c>
      <c r="S293" s="3" t="s">
        <v>15</v>
      </c>
      <c r="T293" s="3"/>
      <c r="U293" s="3" t="s">
        <v>552</v>
      </c>
      <c r="V293" s="3" t="s">
        <v>552</v>
      </c>
    </row>
    <row r="294" spans="2:22" s="2" customFormat="1" ht="18" hidden="1" customHeight="1" x14ac:dyDescent="0.2">
      <c r="B294" s="12">
        <f t="shared" si="15"/>
        <v>277</v>
      </c>
      <c r="C294" s="3" t="s">
        <v>16</v>
      </c>
      <c r="D294" s="3">
        <v>4400340</v>
      </c>
      <c r="E294" s="20" t="str">
        <f t="shared" si="14"/>
        <v>4400340</v>
      </c>
      <c r="F294" s="20"/>
      <c r="G294" s="20"/>
      <c r="H294" s="35">
        <v>4400340</v>
      </c>
      <c r="I294" s="3" t="s">
        <v>11</v>
      </c>
      <c r="J294" s="3" t="s">
        <v>50</v>
      </c>
      <c r="K294" s="20" t="s">
        <v>417</v>
      </c>
      <c r="L294" s="35"/>
      <c r="M294" s="20"/>
      <c r="N294" s="3" t="s">
        <v>316</v>
      </c>
      <c r="O294" s="3" t="s">
        <v>14</v>
      </c>
      <c r="P294" s="3"/>
      <c r="Q294" s="3" t="s">
        <v>132</v>
      </c>
      <c r="R294" s="3">
        <v>8</v>
      </c>
      <c r="S294" s="3" t="s">
        <v>15</v>
      </c>
      <c r="T294" s="3"/>
      <c r="U294" s="3" t="s">
        <v>568</v>
      </c>
      <c r="V294" s="3" t="s">
        <v>552</v>
      </c>
    </row>
    <row r="295" spans="2:22" s="2" customFormat="1" ht="18" hidden="1" customHeight="1" x14ac:dyDescent="0.2">
      <c r="B295" s="12">
        <f t="shared" si="15"/>
        <v>278</v>
      </c>
      <c r="C295" s="3" t="s">
        <v>16</v>
      </c>
      <c r="D295" s="3">
        <v>4400935</v>
      </c>
      <c r="E295" s="20" t="str">
        <f t="shared" si="14"/>
        <v>4400935</v>
      </c>
      <c r="F295" s="20"/>
      <c r="G295" s="20"/>
      <c r="H295" s="35">
        <v>4400935</v>
      </c>
      <c r="I295" s="3" t="s">
        <v>11</v>
      </c>
      <c r="J295" s="3" t="s">
        <v>317</v>
      </c>
      <c r="K295" s="20" t="s">
        <v>489</v>
      </c>
      <c r="L295" s="35"/>
      <c r="M295" s="20"/>
      <c r="N295" s="3" t="s">
        <v>318</v>
      </c>
      <c r="O295" s="3" t="s">
        <v>14</v>
      </c>
      <c r="P295" s="3"/>
      <c r="Q295" s="3" t="s">
        <v>200</v>
      </c>
      <c r="R295" s="3">
        <v>6</v>
      </c>
      <c r="S295" s="3" t="s">
        <v>15</v>
      </c>
      <c r="T295" s="3"/>
      <c r="U295" s="3" t="s">
        <v>678</v>
      </c>
      <c r="V295" s="3" t="s">
        <v>552</v>
      </c>
    </row>
    <row r="296" spans="2:22" s="2" customFormat="1" ht="18" hidden="1" customHeight="1" x14ac:dyDescent="0.2">
      <c r="B296" s="12">
        <f t="shared" si="15"/>
        <v>279</v>
      </c>
      <c r="C296" s="3" t="s">
        <v>16</v>
      </c>
      <c r="D296" s="3">
        <v>4401050</v>
      </c>
      <c r="E296" s="20" t="str">
        <f t="shared" si="14"/>
        <v>4401050</v>
      </c>
      <c r="F296" s="20"/>
      <c r="G296" s="20"/>
      <c r="H296" s="35">
        <v>4401050</v>
      </c>
      <c r="I296" s="3" t="s">
        <v>11</v>
      </c>
      <c r="J296" s="3" t="s">
        <v>319</v>
      </c>
      <c r="K296" s="20" t="s">
        <v>490</v>
      </c>
      <c r="L296" s="35"/>
      <c r="M296" s="20"/>
      <c r="N296" s="3" t="s">
        <v>320</v>
      </c>
      <c r="O296" s="3" t="s">
        <v>14</v>
      </c>
      <c r="P296" s="3"/>
      <c r="Q296" s="3" t="s">
        <v>18</v>
      </c>
      <c r="R296" s="3">
        <v>2</v>
      </c>
      <c r="S296" s="3" t="s">
        <v>15</v>
      </c>
      <c r="T296" s="3"/>
      <c r="U296" s="3" t="s">
        <v>568</v>
      </c>
      <c r="V296" s="3" t="s">
        <v>552</v>
      </c>
    </row>
    <row r="297" spans="2:22" s="2" customFormat="1" ht="18" hidden="1" customHeight="1" x14ac:dyDescent="0.2">
      <c r="B297" s="12">
        <f t="shared" si="15"/>
        <v>280</v>
      </c>
      <c r="C297" s="3" t="s">
        <v>16</v>
      </c>
      <c r="D297" s="3" t="s">
        <v>687</v>
      </c>
      <c r="E297" s="20" t="str">
        <f t="shared" si="14"/>
        <v>44S0019</v>
      </c>
      <c r="F297" s="20"/>
      <c r="G297" s="20"/>
      <c r="H297" s="35" t="s">
        <v>688</v>
      </c>
      <c r="I297" s="3" t="s">
        <v>11</v>
      </c>
      <c r="J297" s="3" t="s">
        <v>321</v>
      </c>
      <c r="K297" s="20" t="s">
        <v>483</v>
      </c>
      <c r="L297" s="35"/>
      <c r="M297" s="20"/>
      <c r="N297" s="3" t="s">
        <v>322</v>
      </c>
      <c r="O297" s="3" t="s">
        <v>14</v>
      </c>
      <c r="P297" s="3"/>
      <c r="Q297" s="3" t="s">
        <v>55</v>
      </c>
      <c r="R297" s="3">
        <v>4</v>
      </c>
      <c r="S297" s="3" t="s">
        <v>15</v>
      </c>
      <c r="T297" s="3"/>
      <c r="U297" s="3" t="s">
        <v>547</v>
      </c>
      <c r="V297" s="3" t="s">
        <v>547</v>
      </c>
    </row>
    <row r="298" spans="2:22" s="2" customFormat="1" ht="18" hidden="1" customHeight="1" x14ac:dyDescent="0.2">
      <c r="B298" s="12">
        <f t="shared" si="15"/>
        <v>281</v>
      </c>
      <c r="C298" s="3" t="s">
        <v>16</v>
      </c>
      <c r="D298" s="3">
        <v>4500056</v>
      </c>
      <c r="E298" s="20" t="str">
        <f t="shared" si="14"/>
        <v>4500056</v>
      </c>
      <c r="F298" s="20"/>
      <c r="G298" s="20"/>
      <c r="H298" s="35">
        <v>4500056</v>
      </c>
      <c r="I298" s="3" t="s">
        <v>11</v>
      </c>
      <c r="J298" s="3" t="s">
        <v>186</v>
      </c>
      <c r="K298" s="20" t="s">
        <v>456</v>
      </c>
      <c r="L298" s="35"/>
      <c r="M298" s="20"/>
      <c r="N298" s="3" t="s">
        <v>323</v>
      </c>
      <c r="O298" s="3" t="s">
        <v>14</v>
      </c>
      <c r="P298" s="3"/>
      <c r="Q298" s="3" t="s">
        <v>200</v>
      </c>
      <c r="R298" s="3">
        <v>6</v>
      </c>
      <c r="S298" s="3" t="s">
        <v>15</v>
      </c>
      <c r="T298" s="3"/>
      <c r="U298" s="3" t="s">
        <v>547</v>
      </c>
      <c r="V298" s="3" t="s">
        <v>547</v>
      </c>
    </row>
    <row r="299" spans="2:22" s="2" customFormat="1" ht="18" hidden="1" customHeight="1" x14ac:dyDescent="0.2">
      <c r="B299" s="12">
        <f t="shared" si="15"/>
        <v>282</v>
      </c>
      <c r="C299" s="3" t="s">
        <v>16</v>
      </c>
      <c r="D299" s="3">
        <v>4500089</v>
      </c>
      <c r="E299" s="20" t="str">
        <f t="shared" si="14"/>
        <v>4500089</v>
      </c>
      <c r="F299" s="20"/>
      <c r="G299" s="20"/>
      <c r="H299" s="35">
        <v>4500089</v>
      </c>
      <c r="I299" s="3" t="s">
        <v>11</v>
      </c>
      <c r="J299" s="3" t="s">
        <v>146</v>
      </c>
      <c r="K299" s="20" t="s">
        <v>444</v>
      </c>
      <c r="L299" s="35"/>
      <c r="M299" s="20"/>
      <c r="N299" s="3" t="s">
        <v>324</v>
      </c>
      <c r="O299" s="3" t="s">
        <v>14</v>
      </c>
      <c r="P299" s="3"/>
      <c r="Q299" s="3" t="s">
        <v>18</v>
      </c>
      <c r="R299" s="3">
        <v>2</v>
      </c>
      <c r="S299" s="3" t="s">
        <v>15</v>
      </c>
      <c r="T299" s="3"/>
      <c r="U299" s="3" t="s">
        <v>568</v>
      </c>
      <c r="V299" s="3" t="s">
        <v>568</v>
      </c>
    </row>
    <row r="300" spans="2:22" s="2" customFormat="1" ht="18" hidden="1" customHeight="1" x14ac:dyDescent="0.2">
      <c r="B300" s="12">
        <f t="shared" si="15"/>
        <v>283</v>
      </c>
      <c r="C300" s="3" t="s">
        <v>16</v>
      </c>
      <c r="D300" s="3">
        <v>4600075</v>
      </c>
      <c r="E300" s="20" t="str">
        <f t="shared" si="14"/>
        <v>4600075</v>
      </c>
      <c r="F300" s="20"/>
      <c r="G300" s="20"/>
      <c r="H300" s="35">
        <v>4600075</v>
      </c>
      <c r="I300" s="3" t="s">
        <v>11</v>
      </c>
      <c r="J300" s="3" t="s">
        <v>325</v>
      </c>
      <c r="K300" s="20" t="s">
        <v>491</v>
      </c>
      <c r="L300" s="35"/>
      <c r="M300" s="20"/>
      <c r="N300" s="3" t="s">
        <v>326</v>
      </c>
      <c r="O300" s="3" t="s">
        <v>14</v>
      </c>
      <c r="P300" s="3"/>
      <c r="Q300" s="3" t="s">
        <v>55</v>
      </c>
      <c r="R300" s="3">
        <v>4</v>
      </c>
      <c r="S300" s="3" t="s">
        <v>15</v>
      </c>
      <c r="T300" s="3"/>
      <c r="U300" s="3" t="s">
        <v>547</v>
      </c>
      <c r="V300" s="3" t="s">
        <v>568</v>
      </c>
    </row>
    <row r="301" spans="2:22" s="2" customFormat="1" ht="18" hidden="1" customHeight="1" x14ac:dyDescent="0.2">
      <c r="B301" s="12">
        <f t="shared" si="15"/>
        <v>284</v>
      </c>
      <c r="C301" s="3" t="s">
        <v>16</v>
      </c>
      <c r="D301" s="3">
        <v>5000471</v>
      </c>
      <c r="E301" s="20" t="str">
        <f t="shared" si="14"/>
        <v>5000471</v>
      </c>
      <c r="F301" s="20"/>
      <c r="G301" s="20"/>
      <c r="H301" s="35">
        <v>5000471</v>
      </c>
      <c r="I301" s="3" t="s">
        <v>11</v>
      </c>
      <c r="J301" s="3" t="s">
        <v>180</v>
      </c>
      <c r="K301" s="20" t="s">
        <v>453</v>
      </c>
      <c r="L301" s="35"/>
      <c r="M301" s="20"/>
      <c r="N301" s="3" t="s">
        <v>181</v>
      </c>
      <c r="O301" s="3" t="s">
        <v>14</v>
      </c>
      <c r="P301" s="3"/>
      <c r="Q301" s="3" t="s">
        <v>327</v>
      </c>
      <c r="R301" s="3">
        <v>9</v>
      </c>
      <c r="S301" s="3" t="s">
        <v>15</v>
      </c>
      <c r="T301" s="3"/>
      <c r="U301" s="3" t="s">
        <v>552</v>
      </c>
      <c r="V301" s="3" t="s">
        <v>571</v>
      </c>
    </row>
    <row r="302" spans="2:22" s="2" customFormat="1" ht="18" hidden="1" customHeight="1" x14ac:dyDescent="0.2">
      <c r="B302" s="12">
        <f t="shared" si="15"/>
        <v>285</v>
      </c>
      <c r="C302" s="3" t="s">
        <v>16</v>
      </c>
      <c r="D302" s="3">
        <v>5000473</v>
      </c>
      <c r="E302" s="20" t="str">
        <f t="shared" si="14"/>
        <v>5000473</v>
      </c>
      <c r="F302" s="20"/>
      <c r="G302" s="20"/>
      <c r="H302" s="35">
        <v>5000473</v>
      </c>
      <c r="I302" s="3" t="s">
        <v>11</v>
      </c>
      <c r="J302" s="3" t="s">
        <v>328</v>
      </c>
      <c r="K302" s="20" t="s">
        <v>492</v>
      </c>
      <c r="L302" s="35"/>
      <c r="M302" s="20"/>
      <c r="N302" s="3" t="s">
        <v>329</v>
      </c>
      <c r="O302" s="3" t="s">
        <v>14</v>
      </c>
      <c r="P302" s="3"/>
      <c r="Q302" s="3" t="s">
        <v>200</v>
      </c>
      <c r="R302" s="3">
        <v>6</v>
      </c>
      <c r="S302" s="3" t="s">
        <v>15</v>
      </c>
      <c r="T302" s="3"/>
      <c r="U302" s="3" t="s">
        <v>568</v>
      </c>
      <c r="V302" s="3" t="s">
        <v>552</v>
      </c>
    </row>
    <row r="303" spans="2:22" s="2" customFormat="1" ht="18" hidden="1" customHeight="1" x14ac:dyDescent="0.2">
      <c r="B303" s="12">
        <f t="shared" si="15"/>
        <v>286</v>
      </c>
      <c r="C303" s="3" t="s">
        <v>16</v>
      </c>
      <c r="D303" s="3">
        <v>5000604</v>
      </c>
      <c r="E303" s="20" t="str">
        <f t="shared" si="14"/>
        <v>5000604</v>
      </c>
      <c r="F303" s="20"/>
      <c r="G303" s="20"/>
      <c r="H303" s="35">
        <v>5000604</v>
      </c>
      <c r="I303" s="3" t="s">
        <v>11</v>
      </c>
      <c r="J303" s="3" t="s">
        <v>23</v>
      </c>
      <c r="K303" s="20" t="s">
        <v>410</v>
      </c>
      <c r="L303" s="35"/>
      <c r="M303" s="20"/>
      <c r="N303" s="3" t="s">
        <v>689</v>
      </c>
      <c r="O303" s="3" t="s">
        <v>14</v>
      </c>
      <c r="P303" s="3"/>
      <c r="Q303" s="3" t="s">
        <v>330</v>
      </c>
      <c r="R303" s="3">
        <v>15</v>
      </c>
      <c r="S303" s="3" t="s">
        <v>15</v>
      </c>
      <c r="T303" s="3"/>
      <c r="U303" s="3" t="s">
        <v>547</v>
      </c>
      <c r="V303" s="3" t="s">
        <v>552</v>
      </c>
    </row>
    <row r="304" spans="2:22" s="2" customFormat="1" ht="18" hidden="1" customHeight="1" x14ac:dyDescent="0.2">
      <c r="B304" s="12">
        <f t="shared" si="15"/>
        <v>287</v>
      </c>
      <c r="C304" s="3" t="s">
        <v>16</v>
      </c>
      <c r="D304" s="3">
        <v>7500021</v>
      </c>
      <c r="E304" s="20" t="str">
        <f t="shared" si="14"/>
        <v>7500021</v>
      </c>
      <c r="F304" s="20"/>
      <c r="G304" s="20"/>
      <c r="H304" s="35">
        <v>7500021</v>
      </c>
      <c r="I304" s="3" t="s">
        <v>11</v>
      </c>
      <c r="J304" s="3" t="s">
        <v>264</v>
      </c>
      <c r="K304" s="20" t="s">
        <v>472</v>
      </c>
      <c r="L304" s="35"/>
      <c r="M304" s="20"/>
      <c r="N304" s="3" t="s">
        <v>265</v>
      </c>
      <c r="O304" s="3" t="s">
        <v>14</v>
      </c>
      <c r="P304" s="3"/>
      <c r="Q304" s="3" t="s">
        <v>331</v>
      </c>
      <c r="R304" s="3">
        <v>36</v>
      </c>
      <c r="S304" s="3" t="s">
        <v>15</v>
      </c>
      <c r="T304" s="3"/>
      <c r="U304" s="3" t="s">
        <v>568</v>
      </c>
      <c r="V304" s="3" t="s">
        <v>678</v>
      </c>
    </row>
    <row r="305" spans="2:22" s="2" customFormat="1" ht="18" hidden="1" customHeight="1" x14ac:dyDescent="0.2">
      <c r="B305" s="12">
        <f t="shared" si="15"/>
        <v>288</v>
      </c>
      <c r="C305" s="3" t="s">
        <v>16</v>
      </c>
      <c r="D305" s="3">
        <v>7500100</v>
      </c>
      <c r="E305" s="20" t="str">
        <f t="shared" si="14"/>
        <v>7500100</v>
      </c>
      <c r="F305" s="20"/>
      <c r="G305" s="20"/>
      <c r="H305" s="35">
        <v>7500100</v>
      </c>
      <c r="I305" s="3" t="s">
        <v>11</v>
      </c>
      <c r="J305" s="3" t="s">
        <v>332</v>
      </c>
      <c r="K305" s="20" t="s">
        <v>493</v>
      </c>
      <c r="L305" s="35"/>
      <c r="M305" s="20"/>
      <c r="N305" s="3" t="s">
        <v>333</v>
      </c>
      <c r="O305" s="3" t="s">
        <v>14</v>
      </c>
      <c r="P305" s="3"/>
      <c r="Q305" s="3" t="s">
        <v>334</v>
      </c>
      <c r="R305" s="3">
        <v>65</v>
      </c>
      <c r="S305" s="3" t="s">
        <v>15</v>
      </c>
      <c r="T305" s="3"/>
      <c r="U305" s="3" t="s">
        <v>568</v>
      </c>
      <c r="V305" s="3" t="s">
        <v>552</v>
      </c>
    </row>
    <row r="306" spans="2:22" s="2" customFormat="1" ht="18" hidden="1" customHeight="1" x14ac:dyDescent="0.2">
      <c r="B306" s="12">
        <f t="shared" si="15"/>
        <v>289</v>
      </c>
      <c r="C306" s="20" t="s">
        <v>16</v>
      </c>
      <c r="D306" s="20">
        <v>7500158</v>
      </c>
      <c r="E306" s="20" t="str">
        <f t="shared" si="14"/>
        <v>7500158</v>
      </c>
      <c r="F306" s="20"/>
      <c r="G306" s="20"/>
      <c r="H306" s="35">
        <v>7500158</v>
      </c>
      <c r="I306" s="20" t="s">
        <v>11</v>
      </c>
      <c r="J306" s="20" t="s">
        <v>335</v>
      </c>
      <c r="K306" s="20" t="s">
        <v>494</v>
      </c>
      <c r="L306" s="35"/>
      <c r="M306" s="20"/>
      <c r="N306" s="20" t="s">
        <v>336</v>
      </c>
      <c r="O306" s="20" t="s">
        <v>14</v>
      </c>
      <c r="P306" s="20"/>
      <c r="Q306" s="20" t="s">
        <v>337</v>
      </c>
      <c r="R306" s="20">
        <v>80</v>
      </c>
      <c r="S306" s="20" t="s">
        <v>15</v>
      </c>
      <c r="T306" s="20"/>
      <c r="U306" s="20" t="s">
        <v>568</v>
      </c>
      <c r="V306" s="20" t="s">
        <v>568</v>
      </c>
    </row>
    <row r="307" spans="2:22" s="2" customFormat="1" ht="18" hidden="1" customHeight="1" x14ac:dyDescent="0.2">
      <c r="B307" s="12">
        <f t="shared" si="15"/>
        <v>290</v>
      </c>
      <c r="C307" s="3" t="s">
        <v>16</v>
      </c>
      <c r="D307" s="3">
        <v>7500207</v>
      </c>
      <c r="E307" s="20" t="str">
        <f t="shared" si="14"/>
        <v>7500207</v>
      </c>
      <c r="F307" s="20"/>
      <c r="G307" s="20"/>
      <c r="H307" s="35">
        <v>7500207</v>
      </c>
      <c r="I307" s="3" t="s">
        <v>11</v>
      </c>
      <c r="J307" s="3" t="s">
        <v>319</v>
      </c>
      <c r="K307" s="20" t="s">
        <v>490</v>
      </c>
      <c r="L307" s="35"/>
      <c r="M307" s="20"/>
      <c r="N307" s="3" t="s">
        <v>690</v>
      </c>
      <c r="O307" s="3" t="s">
        <v>14</v>
      </c>
      <c r="P307" s="3"/>
      <c r="Q307" s="3" t="s">
        <v>338</v>
      </c>
      <c r="R307" s="3">
        <v>20</v>
      </c>
      <c r="S307" s="3" t="s">
        <v>15</v>
      </c>
      <c r="T307" s="3"/>
      <c r="U307" s="3" t="s">
        <v>552</v>
      </c>
      <c r="V307" s="3" t="s">
        <v>679</v>
      </c>
    </row>
    <row r="308" spans="2:22" s="2" customFormat="1" ht="18" hidden="1" customHeight="1" x14ac:dyDescent="0.2">
      <c r="B308" s="12">
        <f t="shared" si="15"/>
        <v>291</v>
      </c>
      <c r="C308" s="3" t="s">
        <v>16</v>
      </c>
      <c r="D308" s="3" t="s">
        <v>691</v>
      </c>
      <c r="E308" s="20" t="str">
        <f t="shared" si="14"/>
        <v>7641-0001-0306</v>
      </c>
      <c r="F308" s="20"/>
      <c r="G308" s="20"/>
      <c r="H308" s="35" t="s">
        <v>692</v>
      </c>
      <c r="I308" s="3" t="s">
        <v>11</v>
      </c>
      <c r="J308" s="3" t="s">
        <v>300</v>
      </c>
      <c r="K308" s="20" t="s">
        <v>482</v>
      </c>
      <c r="L308" s="35"/>
      <c r="M308" s="20"/>
      <c r="N308" s="3" t="s">
        <v>339</v>
      </c>
      <c r="O308" s="3" t="s">
        <v>14</v>
      </c>
      <c r="P308" s="3"/>
      <c r="Q308" s="3" t="s">
        <v>331</v>
      </c>
      <c r="R308" s="3">
        <v>36</v>
      </c>
      <c r="S308" s="3" t="s">
        <v>15</v>
      </c>
      <c r="T308" s="3"/>
      <c r="U308" s="3" t="s">
        <v>678</v>
      </c>
      <c r="V308" s="3" t="s">
        <v>678</v>
      </c>
    </row>
    <row r="309" spans="2:22" s="2" customFormat="1" ht="18" hidden="1" customHeight="1" x14ac:dyDescent="0.2">
      <c r="B309" s="12">
        <f t="shared" si="15"/>
        <v>292</v>
      </c>
      <c r="C309" s="3" t="s">
        <v>16</v>
      </c>
      <c r="D309" s="3">
        <v>900000755</v>
      </c>
      <c r="E309" s="20" t="str">
        <f t="shared" si="14"/>
        <v>900000755</v>
      </c>
      <c r="F309" s="20"/>
      <c r="G309" s="20"/>
      <c r="H309" s="35">
        <v>900000755</v>
      </c>
      <c r="I309" s="3" t="s">
        <v>11</v>
      </c>
      <c r="J309" s="3" t="s">
        <v>253</v>
      </c>
      <c r="K309" s="20" t="s">
        <v>469</v>
      </c>
      <c r="L309" s="35"/>
      <c r="M309" s="20"/>
      <c r="N309" s="3" t="s">
        <v>254</v>
      </c>
      <c r="O309" s="3" t="s">
        <v>14</v>
      </c>
      <c r="P309" s="3"/>
      <c r="Q309" s="3" t="s">
        <v>25</v>
      </c>
      <c r="R309" s="3">
        <v>0</v>
      </c>
      <c r="S309" s="3" t="s">
        <v>15</v>
      </c>
      <c r="T309" s="3"/>
      <c r="U309" s="3" t="s">
        <v>679</v>
      </c>
      <c r="V309" s="3" t="s">
        <v>552</v>
      </c>
    </row>
    <row r="310" spans="2:22" s="2" customFormat="1" ht="18" hidden="1" customHeight="1" x14ac:dyDescent="0.2">
      <c r="B310" s="12">
        <f t="shared" si="15"/>
        <v>293</v>
      </c>
      <c r="C310" s="3" t="s">
        <v>16</v>
      </c>
      <c r="D310" s="3">
        <v>900001200</v>
      </c>
      <c r="E310" s="20" t="str">
        <f t="shared" si="14"/>
        <v>900001200</v>
      </c>
      <c r="F310" s="20"/>
      <c r="G310" s="20"/>
      <c r="H310" s="35">
        <v>900001200</v>
      </c>
      <c r="I310" s="3" t="s">
        <v>11</v>
      </c>
      <c r="J310" s="3" t="s">
        <v>39</v>
      </c>
      <c r="K310" s="20" t="s">
        <v>442</v>
      </c>
      <c r="L310" s="35"/>
      <c r="M310" s="20"/>
      <c r="N310" s="3" t="s">
        <v>340</v>
      </c>
      <c r="O310" s="3" t="s">
        <v>14</v>
      </c>
      <c r="P310" s="3"/>
      <c r="Q310" s="3" t="s">
        <v>21</v>
      </c>
      <c r="R310" s="3">
        <v>1</v>
      </c>
      <c r="S310" s="3" t="s">
        <v>38</v>
      </c>
      <c r="T310" s="3"/>
      <c r="U310" s="3" t="s">
        <v>549</v>
      </c>
      <c r="V310" s="3" t="s">
        <v>693</v>
      </c>
    </row>
    <row r="311" spans="2:22" s="2" customFormat="1" ht="18" hidden="1" customHeight="1" x14ac:dyDescent="0.2">
      <c r="B311" s="12">
        <f t="shared" si="15"/>
        <v>294</v>
      </c>
      <c r="C311" s="3" t="s">
        <v>16</v>
      </c>
      <c r="D311" s="3">
        <v>900001259</v>
      </c>
      <c r="E311" s="20" t="str">
        <f t="shared" si="14"/>
        <v>900001259</v>
      </c>
      <c r="F311" s="20"/>
      <c r="G311" s="20"/>
      <c r="H311" s="35">
        <v>900001259</v>
      </c>
      <c r="I311" s="3" t="s">
        <v>11</v>
      </c>
      <c r="J311" s="3" t="s">
        <v>255</v>
      </c>
      <c r="K311" s="20" t="s">
        <v>470</v>
      </c>
      <c r="L311" s="35"/>
      <c r="M311" s="20"/>
      <c r="N311" s="3" t="s">
        <v>256</v>
      </c>
      <c r="O311" s="3" t="s">
        <v>14</v>
      </c>
      <c r="P311" s="3"/>
      <c r="Q311" s="3" t="s">
        <v>18</v>
      </c>
      <c r="R311" s="3">
        <v>2</v>
      </c>
      <c r="S311" s="3" t="s">
        <v>15</v>
      </c>
      <c r="T311" s="3"/>
      <c r="U311" s="3" t="s">
        <v>552</v>
      </c>
      <c r="V311" s="3" t="s">
        <v>677</v>
      </c>
    </row>
    <row r="312" spans="2:22" s="2" customFormat="1" ht="18" hidden="1" customHeight="1" x14ac:dyDescent="0.2">
      <c r="B312" s="12">
        <f t="shared" si="15"/>
        <v>295</v>
      </c>
      <c r="C312" s="3" t="s">
        <v>16</v>
      </c>
      <c r="D312" s="3">
        <v>9004416</v>
      </c>
      <c r="E312" s="20" t="str">
        <f t="shared" si="14"/>
        <v>9004416</v>
      </c>
      <c r="F312" s="20"/>
      <c r="G312" s="20"/>
      <c r="H312" s="35">
        <v>9004416</v>
      </c>
      <c r="I312" s="3" t="s">
        <v>11</v>
      </c>
      <c r="J312" s="3" t="s">
        <v>120</v>
      </c>
      <c r="K312" s="20" t="s">
        <v>437</v>
      </c>
      <c r="L312" s="35"/>
      <c r="M312" s="20"/>
      <c r="N312" s="3" t="s">
        <v>341</v>
      </c>
      <c r="O312" s="3" t="s">
        <v>14</v>
      </c>
      <c r="P312" s="3"/>
      <c r="Q312" s="3" t="s">
        <v>25</v>
      </c>
      <c r="R312" s="3">
        <v>0</v>
      </c>
      <c r="S312" s="3" t="s">
        <v>15</v>
      </c>
      <c r="T312" s="3"/>
      <c r="U312" s="3" t="s">
        <v>547</v>
      </c>
      <c r="V312" s="3" t="s">
        <v>678</v>
      </c>
    </row>
    <row r="313" spans="2:22" s="2" customFormat="1" ht="18" hidden="1" customHeight="1" x14ac:dyDescent="0.2">
      <c r="B313" s="12">
        <f t="shared" si="15"/>
        <v>296</v>
      </c>
      <c r="C313" s="3" t="s">
        <v>16</v>
      </c>
      <c r="D313" s="3">
        <v>9004417</v>
      </c>
      <c r="E313" s="20" t="str">
        <f t="shared" si="14"/>
        <v>9004417</v>
      </c>
      <c r="F313" s="20"/>
      <c r="G313" s="20"/>
      <c r="H313" s="35">
        <v>9004417</v>
      </c>
      <c r="I313" s="3" t="s">
        <v>11</v>
      </c>
      <c r="J313" s="3" t="s">
        <v>207</v>
      </c>
      <c r="K313" s="20" t="s">
        <v>457</v>
      </c>
      <c r="L313" s="35"/>
      <c r="M313" s="20"/>
      <c r="N313" s="3" t="s">
        <v>342</v>
      </c>
      <c r="O313" s="3" t="s">
        <v>14</v>
      </c>
      <c r="P313" s="3"/>
      <c r="Q313" s="3" t="s">
        <v>25</v>
      </c>
      <c r="R313" s="3">
        <v>0</v>
      </c>
      <c r="S313" s="3" t="s">
        <v>15</v>
      </c>
      <c r="T313" s="3"/>
      <c r="U313" s="3" t="s">
        <v>677</v>
      </c>
      <c r="V313" s="3" t="s">
        <v>552</v>
      </c>
    </row>
    <row r="314" spans="2:22" s="2" customFormat="1" ht="18" hidden="1" customHeight="1" x14ac:dyDescent="0.2">
      <c r="B314" s="12">
        <f t="shared" si="15"/>
        <v>297</v>
      </c>
      <c r="C314" s="3" t="s">
        <v>16</v>
      </c>
      <c r="D314" s="3">
        <v>9200106</v>
      </c>
      <c r="E314" s="20" t="str">
        <f t="shared" si="14"/>
        <v>9200106</v>
      </c>
      <c r="F314" s="20"/>
      <c r="G314" s="20"/>
      <c r="H314" s="35">
        <v>9200106</v>
      </c>
      <c r="I314" s="3" t="s">
        <v>11</v>
      </c>
      <c r="J314" s="3" t="s">
        <v>113</v>
      </c>
      <c r="K314" s="20" t="s">
        <v>434</v>
      </c>
      <c r="L314" s="35"/>
      <c r="M314" s="20"/>
      <c r="N314" s="3" t="s">
        <v>114</v>
      </c>
      <c r="O314" s="3" t="s">
        <v>14</v>
      </c>
      <c r="P314" s="3"/>
      <c r="Q314" s="3" t="s">
        <v>25</v>
      </c>
      <c r="R314" s="3">
        <v>0</v>
      </c>
      <c r="S314" s="3" t="s">
        <v>15</v>
      </c>
      <c r="T314" s="3"/>
      <c r="U314" s="3" t="s">
        <v>678</v>
      </c>
      <c r="V314" s="3" t="s">
        <v>552</v>
      </c>
    </row>
    <row r="315" spans="2:22" s="2" customFormat="1" hidden="1" x14ac:dyDescent="0.2">
      <c r="B315" s="31"/>
      <c r="C315" s="1"/>
      <c r="D315" s="1"/>
      <c r="E315" s="1"/>
      <c r="F315" s="1"/>
      <c r="G315" s="1"/>
      <c r="H315" s="32"/>
      <c r="I315" s="1"/>
      <c r="J315" s="1"/>
      <c r="K315" s="1"/>
      <c r="L315" s="32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2:22" s="5" customFormat="1" hidden="1" x14ac:dyDescent="0.25">
      <c r="B316" s="14"/>
      <c r="C316" s="6"/>
      <c r="D316" s="6"/>
      <c r="E316" s="6"/>
      <c r="F316" s="6"/>
      <c r="G316" s="6"/>
      <c r="H316" s="41"/>
      <c r="I316" s="6"/>
      <c r="J316" s="6"/>
      <c r="K316" s="6"/>
      <c r="L316" s="41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spans="2:22" s="5" customFormat="1" hidden="1" x14ac:dyDescent="0.25">
      <c r="B317" s="14"/>
      <c r="C317" s="6"/>
      <c r="D317" s="6"/>
      <c r="E317" s="6"/>
      <c r="F317" s="6"/>
      <c r="G317" s="6"/>
      <c r="H317" s="41"/>
      <c r="I317" s="6"/>
      <c r="J317" s="6"/>
      <c r="K317" s="6"/>
      <c r="L317" s="41"/>
      <c r="M317" s="6"/>
      <c r="N317" s="6"/>
      <c r="O317" s="6"/>
      <c r="P317" s="6"/>
      <c r="Q317" s="6"/>
      <c r="R317" s="6"/>
      <c r="S317" s="6"/>
      <c r="T317" s="6"/>
      <c r="U317" s="16"/>
      <c r="V317" s="6"/>
    </row>
    <row r="318" spans="2:22" s="5" customFormat="1" hidden="1" x14ac:dyDescent="0.25">
      <c r="B318" s="14"/>
      <c r="C318" s="6"/>
      <c r="D318" s="6"/>
      <c r="E318" s="6"/>
      <c r="F318" s="6"/>
      <c r="G318" s="6"/>
      <c r="H318" s="41"/>
      <c r="I318" s="6"/>
      <c r="J318" s="6"/>
      <c r="K318" s="6"/>
      <c r="L318" s="41"/>
      <c r="M318" s="6"/>
      <c r="N318" s="6"/>
      <c r="O318" s="6"/>
      <c r="P318" s="6"/>
      <c r="Q318" s="6"/>
      <c r="R318" s="6"/>
      <c r="S318" s="6"/>
      <c r="T318" s="6"/>
      <c r="U318" s="16"/>
      <c r="V318" s="6"/>
    </row>
    <row r="319" spans="2:22" s="5" customFormat="1" hidden="1" x14ac:dyDescent="0.25">
      <c r="B319" s="31"/>
      <c r="C319" s="6"/>
      <c r="D319" s="6"/>
      <c r="E319" s="6"/>
      <c r="F319" s="6"/>
      <c r="G319" s="6"/>
      <c r="H319" s="41"/>
      <c r="I319" s="6"/>
      <c r="J319" s="6"/>
      <c r="K319" s="6"/>
      <c r="L319" s="41"/>
      <c r="M319" s="6"/>
      <c r="N319" s="6"/>
      <c r="O319" s="6"/>
      <c r="P319" s="6"/>
      <c r="Q319" s="6"/>
      <c r="R319" s="6"/>
      <c r="S319" s="6"/>
      <c r="T319" s="6"/>
      <c r="U319" s="7"/>
      <c r="V319" s="7"/>
    </row>
    <row r="320" spans="2:22" s="5" customFormat="1" hidden="1" x14ac:dyDescent="0.25">
      <c r="B320" s="14"/>
      <c r="C320" s="6"/>
      <c r="D320" s="6"/>
      <c r="E320" s="6"/>
      <c r="F320" s="6"/>
      <c r="G320" s="6"/>
      <c r="H320" s="41"/>
      <c r="I320" s="6"/>
      <c r="J320" s="6"/>
      <c r="K320" s="6"/>
      <c r="L320" s="41"/>
      <c r="M320" s="6"/>
      <c r="N320" s="6"/>
      <c r="O320" s="6"/>
      <c r="P320" s="6"/>
      <c r="Q320" s="6"/>
      <c r="R320" s="6"/>
      <c r="S320" s="6"/>
      <c r="T320" s="17"/>
      <c r="U320" s="6"/>
      <c r="V320" s="6"/>
    </row>
  </sheetData>
  <autoFilter ref="A2:V320">
    <filterColumn colId="13">
      <colorFilter dxfId="0"/>
    </filterColumn>
  </autoFilter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L323"/>
  <sheetViews>
    <sheetView showGridLines="0" zoomScale="85" zoomScaleNormal="85" workbookViewId="0">
      <pane xSplit="10" ySplit="2" topLeftCell="P27" activePane="bottomRight" state="frozen"/>
      <selection pane="topRight" activeCell="F1" sqref="F1"/>
      <selection pane="bottomLeft" activeCell="A2" sqref="A2"/>
      <selection pane="bottomRight" activeCell="U41" sqref="A41:XFD41"/>
    </sheetView>
  </sheetViews>
  <sheetFormatPr defaultRowHeight="13.5" x14ac:dyDescent="0.25"/>
  <cols>
    <col min="1" max="1" width="4.28515625" style="62" customWidth="1"/>
    <col min="2" max="2" width="7.85546875" style="63" customWidth="1"/>
    <col min="3" max="3" width="10.7109375" style="64" customWidth="1"/>
    <col min="4" max="4" width="16.42578125" style="64" bestFit="1" customWidth="1"/>
    <col min="5" max="5" width="16.42578125" style="6" hidden="1" customWidth="1"/>
    <col min="6" max="6" width="11" style="64" customWidth="1"/>
    <col min="7" max="7" width="15" style="64" bestFit="1" customWidth="1"/>
    <col min="8" max="8" width="15" style="64" hidden="1" customWidth="1"/>
    <col min="9" max="9" width="48.85546875" style="64" hidden="1" customWidth="1"/>
    <col min="10" max="10" width="66" style="64" bestFit="1" customWidth="1"/>
    <col min="11" max="12" width="10.5703125" style="64" customWidth="1"/>
    <col min="13" max="13" width="15.140625" style="64" bestFit="1" customWidth="1"/>
    <col min="14" max="14" width="7" style="64" customWidth="1"/>
    <col min="15" max="15" width="12.28515625" style="64" bestFit="1" customWidth="1"/>
    <col min="16" max="16" width="21.140625" style="64" customWidth="1"/>
    <col min="17" max="17" width="9.85546875" style="64" customWidth="1"/>
    <col min="18" max="18" width="11.140625" style="64" customWidth="1"/>
    <col min="19" max="19" width="20" style="66" customWidth="1"/>
    <col min="20" max="21" width="9.140625" style="62"/>
    <col min="22" max="22" width="54.85546875" style="80" customWidth="1"/>
    <col min="23" max="23" width="23" style="62" bestFit="1" customWidth="1"/>
    <col min="24" max="24" width="17.5703125" style="62" customWidth="1"/>
    <col min="25" max="25" width="9.140625" style="64"/>
    <col min="26" max="27" width="10.7109375" style="74" bestFit="1" customWidth="1"/>
    <col min="28" max="28" width="11.85546875" style="74" bestFit="1" customWidth="1"/>
    <col min="29" max="29" width="10.7109375" style="74" bestFit="1" customWidth="1"/>
    <col min="30" max="30" width="14.28515625" style="74" bestFit="1" customWidth="1"/>
    <col min="31" max="31" width="15.5703125" style="74" customWidth="1"/>
    <col min="32" max="32" width="14.28515625" style="74" bestFit="1" customWidth="1"/>
    <col min="33" max="33" width="9.140625" style="62"/>
    <col min="34" max="34" width="11.85546875" style="62" bestFit="1" customWidth="1"/>
    <col min="35" max="35" width="12.5703125" style="62" bestFit="1" customWidth="1"/>
    <col min="36" max="16384" width="9.140625" style="62"/>
  </cols>
  <sheetData>
    <row r="1" spans="2:38" x14ac:dyDescent="0.25">
      <c r="B1" s="1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 t="s">
        <v>404</v>
      </c>
      <c r="R1" s="3"/>
      <c r="S1" s="44"/>
      <c r="T1" s="45"/>
      <c r="U1" s="45"/>
      <c r="V1" s="75"/>
      <c r="W1" s="45"/>
      <c r="X1" s="98" t="s">
        <v>1060</v>
      </c>
      <c r="Y1" s="97">
        <v>1356</v>
      </c>
      <c r="Z1" s="69"/>
      <c r="AA1" s="69"/>
      <c r="AB1" s="69">
        <f>SUBTOTAL(9,AB3:AB1048576)</f>
        <v>28506613.199999999</v>
      </c>
      <c r="AC1" s="69"/>
      <c r="AD1" s="69">
        <f>SUBTOTAL(9,AD3:AD1048576)</f>
        <v>25002850.040000003</v>
      </c>
      <c r="AE1" s="69"/>
      <c r="AF1" s="69">
        <f>SUBTOTAL(9,AF3:AF1048576)</f>
        <v>24675814.040000003</v>
      </c>
      <c r="AH1" s="88">
        <v>24621493.5</v>
      </c>
      <c r="AI1" s="88">
        <f>AD1-AH1</f>
        <v>381356.54000000283</v>
      </c>
      <c r="AK1" s="74">
        <v>237788</v>
      </c>
      <c r="AL1" s="74">
        <f>AI1-AK1</f>
        <v>143568.54000000283</v>
      </c>
    </row>
    <row r="2" spans="2:38" s="60" customFormat="1" ht="27" x14ac:dyDescent="0.2">
      <c r="B2" s="9" t="s">
        <v>345</v>
      </c>
      <c r="C2" s="10" t="s">
        <v>0</v>
      </c>
      <c r="D2" s="10" t="s">
        <v>1</v>
      </c>
      <c r="E2" s="10" t="s">
        <v>406</v>
      </c>
      <c r="F2" s="10" t="s">
        <v>2</v>
      </c>
      <c r="G2" s="10" t="s">
        <v>3</v>
      </c>
      <c r="H2" s="21" t="s">
        <v>497</v>
      </c>
      <c r="I2" s="21" t="s">
        <v>503</v>
      </c>
      <c r="J2" s="10" t="s">
        <v>4</v>
      </c>
      <c r="K2" s="10" t="s">
        <v>5</v>
      </c>
      <c r="L2" s="10" t="s">
        <v>6</v>
      </c>
      <c r="M2" s="10" t="s">
        <v>7</v>
      </c>
      <c r="N2" s="10" t="s">
        <v>364</v>
      </c>
      <c r="O2" s="10" t="s">
        <v>8</v>
      </c>
      <c r="P2" s="10" t="s">
        <v>9</v>
      </c>
      <c r="Q2" s="10" t="s">
        <v>405</v>
      </c>
      <c r="R2" s="10" t="s">
        <v>392</v>
      </c>
      <c r="S2" s="25" t="s">
        <v>698</v>
      </c>
      <c r="T2" s="25" t="s">
        <v>699</v>
      </c>
      <c r="U2" s="25" t="s">
        <v>700</v>
      </c>
      <c r="V2" s="25" t="s">
        <v>701</v>
      </c>
      <c r="W2" s="18" t="s">
        <v>702</v>
      </c>
      <c r="X2" s="25" t="s">
        <v>703</v>
      </c>
      <c r="Y2" s="18" t="s">
        <v>704</v>
      </c>
      <c r="Z2" s="43" t="s">
        <v>705</v>
      </c>
      <c r="AA2" s="43" t="s">
        <v>706</v>
      </c>
      <c r="AB2" s="43" t="s">
        <v>707</v>
      </c>
      <c r="AC2" s="15" t="s">
        <v>708</v>
      </c>
      <c r="AD2" s="43" t="s">
        <v>709</v>
      </c>
      <c r="AE2" s="15" t="s">
        <v>710</v>
      </c>
      <c r="AF2" s="43" t="s">
        <v>711</v>
      </c>
      <c r="AH2" s="60" t="s">
        <v>1049</v>
      </c>
      <c r="AI2" s="60" t="s">
        <v>1050</v>
      </c>
    </row>
    <row r="3" spans="2:38" s="57" customFormat="1" x14ac:dyDescent="0.2">
      <c r="B3" s="15">
        <v>1</v>
      </c>
      <c r="C3" s="11" t="s">
        <v>10</v>
      </c>
      <c r="D3" s="11">
        <v>110029750</v>
      </c>
      <c r="E3" s="20" t="str">
        <f t="shared" ref="E3:E66" si="0">TRIM(D3)</f>
        <v>110029750</v>
      </c>
      <c r="F3" s="11" t="s">
        <v>11</v>
      </c>
      <c r="G3" s="11" t="s">
        <v>12</v>
      </c>
      <c r="H3" s="11" t="s">
        <v>407</v>
      </c>
      <c r="I3" s="11"/>
      <c r="J3" s="11" t="s">
        <v>13</v>
      </c>
      <c r="K3" s="11" t="s">
        <v>14</v>
      </c>
      <c r="L3" s="11" t="s">
        <v>14</v>
      </c>
      <c r="M3" s="11"/>
      <c r="N3" s="11"/>
      <c r="O3" s="11" t="s">
        <v>15</v>
      </c>
      <c r="P3" s="11"/>
      <c r="Q3" s="11" t="s">
        <v>354</v>
      </c>
      <c r="R3" s="11" t="s">
        <v>354</v>
      </c>
      <c r="S3" s="47"/>
      <c r="T3" s="48"/>
      <c r="U3" s="48"/>
      <c r="V3" s="77"/>
      <c r="W3" s="48"/>
      <c r="X3" s="48"/>
      <c r="Y3" s="11"/>
      <c r="Z3" s="70"/>
      <c r="AA3" s="70"/>
      <c r="AB3" s="70"/>
      <c r="AC3" s="70"/>
      <c r="AD3" s="70"/>
      <c r="AE3" s="70"/>
      <c r="AF3" s="70"/>
    </row>
    <row r="4" spans="2:38" s="57" customFormat="1" x14ac:dyDescent="0.2">
      <c r="B4" s="12">
        <f t="shared" ref="B4:B18" si="1">B3+1</f>
        <v>2</v>
      </c>
      <c r="C4" s="20" t="s">
        <v>16</v>
      </c>
      <c r="D4" s="20" t="s">
        <v>391</v>
      </c>
      <c r="E4" s="20" t="str">
        <f t="shared" si="0"/>
        <v>0581-0008-0207</v>
      </c>
      <c r="F4" s="20" t="s">
        <v>11</v>
      </c>
      <c r="G4" s="20" t="s">
        <v>17</v>
      </c>
      <c r="H4" s="20" t="s">
        <v>408</v>
      </c>
      <c r="I4" s="20"/>
      <c r="J4" s="20" t="s">
        <v>372</v>
      </c>
      <c r="K4" s="20" t="s">
        <v>14</v>
      </c>
      <c r="L4" s="20"/>
      <c r="M4" s="20" t="s">
        <v>18</v>
      </c>
      <c r="N4" s="20">
        <v>2</v>
      </c>
      <c r="O4" s="20" t="s">
        <v>15</v>
      </c>
      <c r="P4" s="20"/>
      <c r="Q4" s="20" t="s">
        <v>395</v>
      </c>
      <c r="R4" s="20" t="s">
        <v>346</v>
      </c>
      <c r="S4" s="58" t="s">
        <v>712</v>
      </c>
      <c r="T4" s="59" t="s">
        <v>722</v>
      </c>
      <c r="U4" s="59" t="s">
        <v>712</v>
      </c>
      <c r="V4" s="78" t="s">
        <v>714</v>
      </c>
      <c r="W4" s="59" t="s">
        <v>815</v>
      </c>
      <c r="X4" s="59" t="s">
        <v>751</v>
      </c>
      <c r="Y4" s="20" t="s">
        <v>717</v>
      </c>
      <c r="Z4" s="71">
        <v>0</v>
      </c>
      <c r="AA4" s="71">
        <v>550</v>
      </c>
      <c r="AB4" s="71">
        <v>1100</v>
      </c>
      <c r="AC4" s="71">
        <v>550</v>
      </c>
      <c r="AD4" s="71">
        <f>$AC4*$N4</f>
        <v>1100</v>
      </c>
      <c r="AE4" s="71">
        <v>550</v>
      </c>
      <c r="AF4" s="71">
        <f>$AE4*$N4</f>
        <v>1100</v>
      </c>
    </row>
    <row r="5" spans="2:38" s="57" customFormat="1" x14ac:dyDescent="0.2">
      <c r="B5" s="15">
        <f t="shared" si="1"/>
        <v>3</v>
      </c>
      <c r="C5" s="11" t="s">
        <v>16</v>
      </c>
      <c r="D5" s="11">
        <v>100014570</v>
      </c>
      <c r="E5" s="20" t="str">
        <f t="shared" si="0"/>
        <v>100014570</v>
      </c>
      <c r="F5" s="11" t="s">
        <v>11</v>
      </c>
      <c r="G5" s="11" t="s">
        <v>19</v>
      </c>
      <c r="H5" s="11" t="s">
        <v>409</v>
      </c>
      <c r="I5" s="11"/>
      <c r="J5" s="11" t="s">
        <v>20</v>
      </c>
      <c r="K5" s="11" t="s">
        <v>14</v>
      </c>
      <c r="L5" s="11"/>
      <c r="M5" s="11" t="s">
        <v>21</v>
      </c>
      <c r="N5" s="11">
        <v>1</v>
      </c>
      <c r="O5" s="11" t="s">
        <v>15</v>
      </c>
      <c r="P5" s="11"/>
      <c r="Q5" s="11" t="s">
        <v>373</v>
      </c>
      <c r="R5" s="11" t="s">
        <v>373</v>
      </c>
      <c r="S5" s="47"/>
      <c r="T5" s="48"/>
      <c r="U5" s="48"/>
      <c r="V5" s="77"/>
      <c r="W5" s="48"/>
      <c r="X5" s="48"/>
      <c r="Y5" s="11"/>
      <c r="Z5" s="70"/>
      <c r="AA5" s="70"/>
      <c r="AB5" s="70"/>
      <c r="AC5" s="70"/>
      <c r="AD5" s="70"/>
      <c r="AE5" s="70"/>
      <c r="AF5" s="70"/>
    </row>
    <row r="6" spans="2:38" s="57" customFormat="1" x14ac:dyDescent="0.2">
      <c r="B6" s="12">
        <f t="shared" si="1"/>
        <v>4</v>
      </c>
      <c r="C6" s="20" t="s">
        <v>22</v>
      </c>
      <c r="D6" s="20">
        <v>180000572</v>
      </c>
      <c r="E6" s="20" t="str">
        <f t="shared" si="0"/>
        <v>180000572</v>
      </c>
      <c r="F6" s="20" t="s">
        <v>11</v>
      </c>
      <c r="G6" s="20" t="s">
        <v>23</v>
      </c>
      <c r="H6" s="20" t="s">
        <v>410</v>
      </c>
      <c r="I6" s="20"/>
      <c r="J6" s="20" t="s">
        <v>343</v>
      </c>
      <c r="K6" s="20" t="s">
        <v>24</v>
      </c>
      <c r="L6" s="20"/>
      <c r="M6" s="20" t="s">
        <v>25</v>
      </c>
      <c r="N6" s="20">
        <v>0</v>
      </c>
      <c r="O6" s="20" t="s">
        <v>15</v>
      </c>
      <c r="P6" s="20"/>
      <c r="Q6" s="20" t="s">
        <v>393</v>
      </c>
      <c r="R6" s="20" t="s">
        <v>344</v>
      </c>
      <c r="S6" s="58" t="s">
        <v>712</v>
      </c>
      <c r="T6" s="59" t="s">
        <v>792</v>
      </c>
      <c r="U6" s="59" t="s">
        <v>712</v>
      </c>
      <c r="V6" s="78" t="s">
        <v>714</v>
      </c>
      <c r="W6" s="59" t="s">
        <v>837</v>
      </c>
      <c r="X6" s="59" t="s">
        <v>751</v>
      </c>
      <c r="Y6" s="20" t="s">
        <v>717</v>
      </c>
      <c r="Z6" s="71">
        <v>0</v>
      </c>
      <c r="AA6" s="71">
        <v>395000</v>
      </c>
      <c r="AB6" s="71">
        <v>0</v>
      </c>
      <c r="AC6" s="71">
        <v>395000</v>
      </c>
      <c r="AD6" s="71">
        <v>0</v>
      </c>
      <c r="AE6" s="71">
        <v>395000</v>
      </c>
      <c r="AF6" s="71">
        <v>0</v>
      </c>
    </row>
    <row r="7" spans="2:38" s="57" customFormat="1" ht="40.5" x14ac:dyDescent="0.2">
      <c r="B7" s="12">
        <f t="shared" si="1"/>
        <v>5</v>
      </c>
      <c r="C7" s="20" t="s">
        <v>22</v>
      </c>
      <c r="D7" s="20">
        <v>190002900</v>
      </c>
      <c r="E7" s="20" t="str">
        <f t="shared" si="0"/>
        <v>190002900</v>
      </c>
      <c r="F7" s="20" t="s">
        <v>11</v>
      </c>
      <c r="G7" s="20" t="s">
        <v>26</v>
      </c>
      <c r="H7" s="20" t="s">
        <v>411</v>
      </c>
      <c r="I7" s="20"/>
      <c r="J7" s="20" t="s">
        <v>27</v>
      </c>
      <c r="K7" s="20" t="s">
        <v>28</v>
      </c>
      <c r="L7" s="20"/>
      <c r="M7" s="20" t="s">
        <v>21</v>
      </c>
      <c r="N7" s="20">
        <v>1</v>
      </c>
      <c r="O7" s="20" t="s">
        <v>15</v>
      </c>
      <c r="P7" s="20"/>
      <c r="Q7" s="20" t="s">
        <v>395</v>
      </c>
      <c r="R7" s="20" t="s">
        <v>346</v>
      </c>
      <c r="S7" s="58" t="s">
        <v>835</v>
      </c>
      <c r="T7" s="59" t="s">
        <v>836</v>
      </c>
      <c r="U7" s="59" t="s">
        <v>712</v>
      </c>
      <c r="V7" s="78" t="s">
        <v>960</v>
      </c>
      <c r="W7" s="59" t="s">
        <v>838</v>
      </c>
      <c r="X7" s="59" t="s">
        <v>751</v>
      </c>
      <c r="Y7" s="20" t="s">
        <v>717</v>
      </c>
      <c r="Z7" s="71">
        <v>120306.5</v>
      </c>
      <c r="AA7" s="71">
        <v>125000</v>
      </c>
      <c r="AB7" s="71">
        <v>125000</v>
      </c>
      <c r="AC7" s="71">
        <v>125000</v>
      </c>
      <c r="AD7" s="71">
        <f t="shared" ref="AD7:AD8" si="2">$AC7*$N7</f>
        <v>125000</v>
      </c>
      <c r="AE7" s="71">
        <v>125000</v>
      </c>
      <c r="AF7" s="71">
        <f t="shared" ref="AF7:AF8" si="3">$AE7*$N7</f>
        <v>125000</v>
      </c>
    </row>
    <row r="8" spans="2:38" s="57" customFormat="1" ht="40.5" x14ac:dyDescent="0.2">
      <c r="B8" s="12">
        <f t="shared" si="1"/>
        <v>6</v>
      </c>
      <c r="C8" s="20" t="s">
        <v>22</v>
      </c>
      <c r="D8" s="20">
        <v>190002920</v>
      </c>
      <c r="E8" s="20" t="str">
        <f t="shared" si="0"/>
        <v>190002920</v>
      </c>
      <c r="F8" s="20" t="s">
        <v>11</v>
      </c>
      <c r="G8" s="20" t="s">
        <v>29</v>
      </c>
      <c r="H8" s="20" t="s">
        <v>412</v>
      </c>
      <c r="I8" s="20"/>
      <c r="J8" s="20" t="s">
        <v>30</v>
      </c>
      <c r="K8" s="20" t="s">
        <v>31</v>
      </c>
      <c r="L8" s="20"/>
      <c r="M8" s="20" t="s">
        <v>21</v>
      </c>
      <c r="N8" s="20">
        <v>1</v>
      </c>
      <c r="O8" s="20" t="s">
        <v>15</v>
      </c>
      <c r="P8" s="20"/>
      <c r="Q8" s="20" t="s">
        <v>395</v>
      </c>
      <c r="R8" s="20" t="s">
        <v>346</v>
      </c>
      <c r="S8" s="58" t="s">
        <v>835</v>
      </c>
      <c r="T8" s="59" t="s">
        <v>836</v>
      </c>
      <c r="U8" s="59" t="s">
        <v>712</v>
      </c>
      <c r="V8" s="78" t="s">
        <v>916</v>
      </c>
      <c r="W8" s="59" t="s">
        <v>838</v>
      </c>
      <c r="X8" s="59" t="s">
        <v>751</v>
      </c>
      <c r="Y8" s="20" t="s">
        <v>717</v>
      </c>
      <c r="Z8" s="71">
        <v>108764.50000000001</v>
      </c>
      <c r="AA8" s="71">
        <v>125000</v>
      </c>
      <c r="AB8" s="71">
        <v>125000</v>
      </c>
      <c r="AC8" s="71">
        <v>125000</v>
      </c>
      <c r="AD8" s="71">
        <f t="shared" si="2"/>
        <v>125000</v>
      </c>
      <c r="AE8" s="71">
        <v>125000</v>
      </c>
      <c r="AF8" s="71">
        <f t="shared" si="3"/>
        <v>125000</v>
      </c>
    </row>
    <row r="9" spans="2:38" s="57" customFormat="1" x14ac:dyDescent="0.2">
      <c r="B9" s="49">
        <f t="shared" si="1"/>
        <v>7</v>
      </c>
      <c r="C9" s="50" t="s">
        <v>16</v>
      </c>
      <c r="D9" s="50">
        <v>100210965</v>
      </c>
      <c r="E9" s="20" t="str">
        <f t="shared" si="0"/>
        <v>100210965</v>
      </c>
      <c r="F9" s="50" t="s">
        <v>11</v>
      </c>
      <c r="G9" s="50" t="s">
        <v>32</v>
      </c>
      <c r="H9" s="50" t="s">
        <v>413</v>
      </c>
      <c r="I9" s="50"/>
      <c r="J9" s="50" t="s">
        <v>363</v>
      </c>
      <c r="K9" s="50" t="s">
        <v>14</v>
      </c>
      <c r="L9" s="50"/>
      <c r="M9" s="50" t="s">
        <v>33</v>
      </c>
      <c r="N9" s="50">
        <v>0</v>
      </c>
      <c r="O9" s="50" t="s">
        <v>15</v>
      </c>
      <c r="P9" s="50"/>
      <c r="Q9" s="50" t="s">
        <v>398</v>
      </c>
      <c r="R9" s="50" t="s">
        <v>374</v>
      </c>
      <c r="S9" s="51" t="s">
        <v>712</v>
      </c>
      <c r="T9" s="52" t="s">
        <v>712</v>
      </c>
      <c r="U9" s="52" t="s">
        <v>712</v>
      </c>
      <c r="V9" s="79" t="s">
        <v>716</v>
      </c>
      <c r="W9" s="52" t="s">
        <v>712</v>
      </c>
      <c r="X9" s="52" t="s">
        <v>712</v>
      </c>
      <c r="Y9" s="50" t="s">
        <v>717</v>
      </c>
      <c r="Z9" s="72">
        <v>0</v>
      </c>
      <c r="AA9" s="72">
        <v>0</v>
      </c>
      <c r="AB9" s="72">
        <v>0</v>
      </c>
      <c r="AC9" s="72">
        <v>0</v>
      </c>
      <c r="AD9" s="72">
        <v>0</v>
      </c>
      <c r="AE9" s="72">
        <v>0</v>
      </c>
      <c r="AF9" s="72">
        <v>0</v>
      </c>
    </row>
    <row r="10" spans="2:38" s="57" customFormat="1" x14ac:dyDescent="0.2">
      <c r="B10" s="49">
        <f t="shared" si="1"/>
        <v>8</v>
      </c>
      <c r="C10" s="50" t="s">
        <v>22</v>
      </c>
      <c r="D10" s="50">
        <v>100210964</v>
      </c>
      <c r="E10" s="20" t="str">
        <f t="shared" si="0"/>
        <v>100210964</v>
      </c>
      <c r="F10" s="50" t="s">
        <v>11</v>
      </c>
      <c r="G10" s="50" t="s">
        <v>34</v>
      </c>
      <c r="H10" s="50"/>
      <c r="I10" s="50"/>
      <c r="J10" s="50" t="s">
        <v>35</v>
      </c>
      <c r="K10" s="50" t="s">
        <v>14</v>
      </c>
      <c r="L10" s="50"/>
      <c r="M10" s="50" t="s">
        <v>33</v>
      </c>
      <c r="N10" s="50">
        <v>0</v>
      </c>
      <c r="O10" s="50" t="s">
        <v>15</v>
      </c>
      <c r="P10" s="50"/>
      <c r="Q10" s="50" t="s">
        <v>398</v>
      </c>
      <c r="R10" s="50" t="s">
        <v>374</v>
      </c>
      <c r="S10" s="51" t="s">
        <v>712</v>
      </c>
      <c r="T10" s="52" t="s">
        <v>712</v>
      </c>
      <c r="U10" s="52" t="s">
        <v>712</v>
      </c>
      <c r="V10" s="79" t="s">
        <v>713</v>
      </c>
      <c r="W10" s="52" t="s">
        <v>712</v>
      </c>
      <c r="X10" s="52" t="s">
        <v>712</v>
      </c>
      <c r="Y10" s="50" t="s">
        <v>717</v>
      </c>
      <c r="Z10" s="72">
        <v>0</v>
      </c>
      <c r="AA10" s="72">
        <v>0</v>
      </c>
      <c r="AB10" s="72">
        <v>0</v>
      </c>
      <c r="AC10" s="72">
        <v>0</v>
      </c>
      <c r="AD10" s="72">
        <v>0</v>
      </c>
      <c r="AE10" s="72">
        <v>0</v>
      </c>
      <c r="AF10" s="72">
        <v>0</v>
      </c>
    </row>
    <row r="11" spans="2:38" s="57" customFormat="1" x14ac:dyDescent="0.2">
      <c r="B11" s="49">
        <f t="shared" si="1"/>
        <v>9</v>
      </c>
      <c r="C11" s="50" t="s">
        <v>36</v>
      </c>
      <c r="D11" s="50">
        <v>860210837</v>
      </c>
      <c r="E11" s="20" t="str">
        <f t="shared" si="0"/>
        <v>860210837</v>
      </c>
      <c r="F11" s="50" t="s">
        <v>11</v>
      </c>
      <c r="G11" s="50" t="s">
        <v>23</v>
      </c>
      <c r="H11" s="50"/>
      <c r="I11" s="50"/>
      <c r="J11" s="50" t="s">
        <v>37</v>
      </c>
      <c r="K11" s="50" t="s">
        <v>14</v>
      </c>
      <c r="L11" s="50"/>
      <c r="M11" s="50" t="s">
        <v>21</v>
      </c>
      <c r="N11" s="50">
        <v>1</v>
      </c>
      <c r="O11" s="50" t="s">
        <v>38</v>
      </c>
      <c r="P11" s="50"/>
      <c r="Q11" s="50" t="s">
        <v>401</v>
      </c>
      <c r="R11" s="50" t="s">
        <v>374</v>
      </c>
      <c r="S11" s="51" t="s">
        <v>712</v>
      </c>
      <c r="T11" s="52" t="s">
        <v>712</v>
      </c>
      <c r="U11" s="52" t="s">
        <v>712</v>
      </c>
      <c r="V11" s="79" t="s">
        <v>713</v>
      </c>
      <c r="W11" s="52" t="s">
        <v>712</v>
      </c>
      <c r="X11" s="52" t="s">
        <v>712</v>
      </c>
      <c r="Y11" s="50" t="s">
        <v>717</v>
      </c>
      <c r="Z11" s="72">
        <v>0</v>
      </c>
      <c r="AA11" s="72">
        <v>0</v>
      </c>
      <c r="AB11" s="72">
        <v>0</v>
      </c>
      <c r="AC11" s="72">
        <v>0</v>
      </c>
      <c r="AD11" s="72">
        <v>0</v>
      </c>
      <c r="AE11" s="72">
        <v>0</v>
      </c>
      <c r="AF11" s="72">
        <v>0</v>
      </c>
    </row>
    <row r="12" spans="2:38" s="57" customFormat="1" x14ac:dyDescent="0.2">
      <c r="B12" s="49">
        <f t="shared" si="1"/>
        <v>10</v>
      </c>
      <c r="C12" s="50" t="s">
        <v>22</v>
      </c>
      <c r="D12" s="50">
        <v>100210966</v>
      </c>
      <c r="E12" s="20" t="str">
        <f t="shared" si="0"/>
        <v>100210966</v>
      </c>
      <c r="F12" s="50" t="s">
        <v>11</v>
      </c>
      <c r="G12" s="50" t="s">
        <v>39</v>
      </c>
      <c r="H12" s="50"/>
      <c r="I12" s="50"/>
      <c r="J12" s="50" t="s">
        <v>40</v>
      </c>
      <c r="K12" s="50" t="s">
        <v>14</v>
      </c>
      <c r="L12" s="50"/>
      <c r="M12" s="50" t="s">
        <v>33</v>
      </c>
      <c r="N12" s="50">
        <v>0</v>
      </c>
      <c r="O12" s="50" t="s">
        <v>15</v>
      </c>
      <c r="P12" s="50"/>
      <c r="Q12" s="50" t="s">
        <v>397</v>
      </c>
      <c r="R12" s="50" t="s">
        <v>374</v>
      </c>
      <c r="S12" s="51" t="s">
        <v>712</v>
      </c>
      <c r="T12" s="52" t="s">
        <v>712</v>
      </c>
      <c r="U12" s="52" t="s">
        <v>712</v>
      </c>
      <c r="V12" s="79" t="s">
        <v>713</v>
      </c>
      <c r="W12" s="52" t="s">
        <v>712</v>
      </c>
      <c r="X12" s="52" t="s">
        <v>712</v>
      </c>
      <c r="Y12" s="50" t="s">
        <v>717</v>
      </c>
      <c r="Z12" s="72">
        <v>0</v>
      </c>
      <c r="AA12" s="72">
        <v>0</v>
      </c>
      <c r="AB12" s="72">
        <v>0</v>
      </c>
      <c r="AC12" s="72">
        <v>0</v>
      </c>
      <c r="AD12" s="72">
        <v>0</v>
      </c>
      <c r="AE12" s="72">
        <v>0</v>
      </c>
      <c r="AF12" s="72">
        <v>0</v>
      </c>
    </row>
    <row r="13" spans="2:38" s="57" customFormat="1" x14ac:dyDescent="0.2">
      <c r="B13" s="49">
        <f t="shared" si="1"/>
        <v>11</v>
      </c>
      <c r="C13" s="50" t="s">
        <v>36</v>
      </c>
      <c r="D13" s="50">
        <v>860210837</v>
      </c>
      <c r="E13" s="20" t="str">
        <f t="shared" si="0"/>
        <v>860210837</v>
      </c>
      <c r="F13" s="50" t="s">
        <v>11</v>
      </c>
      <c r="G13" s="50" t="s">
        <v>23</v>
      </c>
      <c r="H13" s="50"/>
      <c r="I13" s="50"/>
      <c r="J13" s="50" t="s">
        <v>37</v>
      </c>
      <c r="K13" s="50" t="s">
        <v>14</v>
      </c>
      <c r="L13" s="50"/>
      <c r="M13" s="50" t="s">
        <v>21</v>
      </c>
      <c r="N13" s="50">
        <v>1</v>
      </c>
      <c r="O13" s="50" t="s">
        <v>38</v>
      </c>
      <c r="P13" s="50"/>
      <c r="Q13" s="50" t="s">
        <v>397</v>
      </c>
      <c r="R13" s="50" t="s">
        <v>374</v>
      </c>
      <c r="S13" s="51" t="s">
        <v>712</v>
      </c>
      <c r="T13" s="52" t="s">
        <v>712</v>
      </c>
      <c r="U13" s="52" t="s">
        <v>712</v>
      </c>
      <c r="V13" s="79" t="s">
        <v>714</v>
      </c>
      <c r="W13" s="52" t="s">
        <v>712</v>
      </c>
      <c r="X13" s="52" t="s">
        <v>712</v>
      </c>
      <c r="Y13" s="50" t="s">
        <v>717</v>
      </c>
      <c r="Z13" s="72">
        <v>0</v>
      </c>
      <c r="AA13" s="72">
        <v>0</v>
      </c>
      <c r="AB13" s="72">
        <v>0</v>
      </c>
      <c r="AC13" s="72">
        <v>0</v>
      </c>
      <c r="AD13" s="72">
        <v>0</v>
      </c>
      <c r="AE13" s="72">
        <v>0</v>
      </c>
      <c r="AF13" s="72">
        <v>0</v>
      </c>
    </row>
    <row r="14" spans="2:38" s="57" customFormat="1" x14ac:dyDescent="0.2">
      <c r="B14" s="49">
        <f t="shared" si="1"/>
        <v>12</v>
      </c>
      <c r="C14" s="50" t="s">
        <v>22</v>
      </c>
      <c r="D14" s="50">
        <v>100210967</v>
      </c>
      <c r="E14" s="20" t="str">
        <f t="shared" si="0"/>
        <v>100210967</v>
      </c>
      <c r="F14" s="50" t="s">
        <v>11</v>
      </c>
      <c r="G14" s="50" t="s">
        <v>39</v>
      </c>
      <c r="H14" s="50"/>
      <c r="I14" s="50"/>
      <c r="J14" s="50" t="s">
        <v>41</v>
      </c>
      <c r="K14" s="50" t="s">
        <v>14</v>
      </c>
      <c r="L14" s="50"/>
      <c r="M14" s="50" t="s">
        <v>33</v>
      </c>
      <c r="N14" s="50">
        <v>0</v>
      </c>
      <c r="O14" s="50" t="s">
        <v>15</v>
      </c>
      <c r="P14" s="50"/>
      <c r="Q14" s="50" t="s">
        <v>397</v>
      </c>
      <c r="R14" s="50" t="s">
        <v>374</v>
      </c>
      <c r="S14" s="51" t="s">
        <v>712</v>
      </c>
      <c r="T14" s="52" t="s">
        <v>712</v>
      </c>
      <c r="U14" s="52" t="s">
        <v>712</v>
      </c>
      <c r="V14" s="79" t="s">
        <v>716</v>
      </c>
      <c r="W14" s="52" t="s">
        <v>712</v>
      </c>
      <c r="X14" s="52" t="s">
        <v>712</v>
      </c>
      <c r="Y14" s="50" t="s">
        <v>717</v>
      </c>
      <c r="Z14" s="72">
        <v>0</v>
      </c>
      <c r="AA14" s="72">
        <v>0</v>
      </c>
      <c r="AB14" s="72">
        <v>0</v>
      </c>
      <c r="AC14" s="72">
        <v>0</v>
      </c>
      <c r="AD14" s="72">
        <v>0</v>
      </c>
      <c r="AE14" s="72">
        <v>0</v>
      </c>
      <c r="AF14" s="72">
        <v>0</v>
      </c>
    </row>
    <row r="15" spans="2:38" s="57" customFormat="1" x14ac:dyDescent="0.2">
      <c r="B15" s="49">
        <f t="shared" si="1"/>
        <v>13</v>
      </c>
      <c r="C15" s="50" t="s">
        <v>36</v>
      </c>
      <c r="D15" s="50">
        <v>860210837</v>
      </c>
      <c r="E15" s="20" t="str">
        <f t="shared" si="0"/>
        <v>860210837</v>
      </c>
      <c r="F15" s="50" t="s">
        <v>11</v>
      </c>
      <c r="G15" s="50" t="s">
        <v>23</v>
      </c>
      <c r="H15" s="50"/>
      <c r="I15" s="50"/>
      <c r="J15" s="50" t="s">
        <v>37</v>
      </c>
      <c r="K15" s="50" t="s">
        <v>14</v>
      </c>
      <c r="L15" s="50"/>
      <c r="M15" s="50" t="s">
        <v>21</v>
      </c>
      <c r="N15" s="50">
        <v>1</v>
      </c>
      <c r="O15" s="50" t="s">
        <v>38</v>
      </c>
      <c r="P15" s="50"/>
      <c r="Q15" s="50" t="s">
        <v>397</v>
      </c>
      <c r="R15" s="50" t="s">
        <v>374</v>
      </c>
      <c r="S15" s="51" t="s">
        <v>712</v>
      </c>
      <c r="T15" s="52" t="s">
        <v>712</v>
      </c>
      <c r="U15" s="52" t="s">
        <v>712</v>
      </c>
      <c r="V15" s="79" t="s">
        <v>713</v>
      </c>
      <c r="W15" s="52" t="s">
        <v>712</v>
      </c>
      <c r="X15" s="52" t="s">
        <v>712</v>
      </c>
      <c r="Y15" s="50" t="s">
        <v>717</v>
      </c>
      <c r="Z15" s="72">
        <v>0</v>
      </c>
      <c r="AA15" s="72">
        <v>0</v>
      </c>
      <c r="AB15" s="72">
        <v>0</v>
      </c>
      <c r="AC15" s="72">
        <v>0</v>
      </c>
      <c r="AD15" s="72">
        <v>0</v>
      </c>
      <c r="AE15" s="72">
        <v>0</v>
      </c>
      <c r="AF15" s="72">
        <v>0</v>
      </c>
    </row>
    <row r="16" spans="2:38" s="57" customFormat="1" x14ac:dyDescent="0.2">
      <c r="B16" s="49">
        <f t="shared" si="1"/>
        <v>14</v>
      </c>
      <c r="C16" s="50" t="s">
        <v>22</v>
      </c>
      <c r="D16" s="50">
        <v>100210968</v>
      </c>
      <c r="E16" s="20" t="str">
        <f t="shared" si="0"/>
        <v>100210968</v>
      </c>
      <c r="F16" s="50" t="s">
        <v>11</v>
      </c>
      <c r="G16" s="50" t="s">
        <v>39</v>
      </c>
      <c r="H16" s="50"/>
      <c r="I16" s="50"/>
      <c r="J16" s="50" t="s">
        <v>42</v>
      </c>
      <c r="K16" s="50" t="s">
        <v>14</v>
      </c>
      <c r="L16" s="50"/>
      <c r="M16" s="50" t="s">
        <v>33</v>
      </c>
      <c r="N16" s="50">
        <v>0</v>
      </c>
      <c r="O16" s="50" t="s">
        <v>15</v>
      </c>
      <c r="P16" s="50"/>
      <c r="Q16" s="50" t="s">
        <v>397</v>
      </c>
      <c r="R16" s="50" t="s">
        <v>374</v>
      </c>
      <c r="S16" s="51" t="s">
        <v>712</v>
      </c>
      <c r="T16" s="52" t="s">
        <v>712</v>
      </c>
      <c r="U16" s="52" t="s">
        <v>712</v>
      </c>
      <c r="V16" s="79" t="s">
        <v>713</v>
      </c>
      <c r="W16" s="52" t="s">
        <v>712</v>
      </c>
      <c r="X16" s="52" t="s">
        <v>712</v>
      </c>
      <c r="Y16" s="50" t="s">
        <v>717</v>
      </c>
      <c r="Z16" s="72">
        <v>0</v>
      </c>
      <c r="AA16" s="72">
        <v>0</v>
      </c>
      <c r="AB16" s="72">
        <v>0</v>
      </c>
      <c r="AC16" s="72">
        <v>0</v>
      </c>
      <c r="AD16" s="72">
        <v>0</v>
      </c>
      <c r="AE16" s="72">
        <v>0</v>
      </c>
      <c r="AF16" s="72">
        <v>0</v>
      </c>
    </row>
    <row r="17" spans="2:32" s="57" customFormat="1" x14ac:dyDescent="0.2">
      <c r="B17" s="49">
        <f t="shared" si="1"/>
        <v>15</v>
      </c>
      <c r="C17" s="50" t="s">
        <v>36</v>
      </c>
      <c r="D17" s="50">
        <v>860210837</v>
      </c>
      <c r="E17" s="20" t="str">
        <f t="shared" si="0"/>
        <v>860210837</v>
      </c>
      <c r="F17" s="50" t="s">
        <v>11</v>
      </c>
      <c r="G17" s="50" t="s">
        <v>23</v>
      </c>
      <c r="H17" s="50"/>
      <c r="I17" s="50"/>
      <c r="J17" s="50" t="s">
        <v>37</v>
      </c>
      <c r="K17" s="50" t="s">
        <v>14</v>
      </c>
      <c r="L17" s="50"/>
      <c r="M17" s="50" t="s">
        <v>21</v>
      </c>
      <c r="N17" s="50">
        <v>1</v>
      </c>
      <c r="O17" s="50" t="s">
        <v>38</v>
      </c>
      <c r="P17" s="50"/>
      <c r="Q17" s="50" t="s">
        <v>397</v>
      </c>
      <c r="R17" s="50" t="s">
        <v>374</v>
      </c>
      <c r="S17" s="51" t="s">
        <v>712</v>
      </c>
      <c r="T17" s="52" t="s">
        <v>712</v>
      </c>
      <c r="U17" s="52" t="s">
        <v>712</v>
      </c>
      <c r="V17" s="79" t="s">
        <v>716</v>
      </c>
      <c r="W17" s="52" t="s">
        <v>712</v>
      </c>
      <c r="X17" s="52" t="s">
        <v>712</v>
      </c>
      <c r="Y17" s="50" t="s">
        <v>717</v>
      </c>
      <c r="Z17" s="72">
        <v>0</v>
      </c>
      <c r="AA17" s="72">
        <v>0</v>
      </c>
      <c r="AB17" s="72">
        <v>0</v>
      </c>
      <c r="AC17" s="72">
        <v>0</v>
      </c>
      <c r="AD17" s="72">
        <v>0</v>
      </c>
      <c r="AE17" s="72">
        <v>0</v>
      </c>
      <c r="AF17" s="72">
        <v>0</v>
      </c>
    </row>
    <row r="18" spans="2:32" s="57" customFormat="1" x14ac:dyDescent="0.2">
      <c r="B18" s="19">
        <f t="shared" si="1"/>
        <v>16</v>
      </c>
      <c r="C18" s="18" t="s">
        <v>16</v>
      </c>
      <c r="D18" s="18">
        <v>110036930</v>
      </c>
      <c r="E18" s="20" t="str">
        <f t="shared" si="0"/>
        <v>110036930</v>
      </c>
      <c r="F18" s="18" t="s">
        <v>11</v>
      </c>
      <c r="G18" s="27" t="s">
        <v>43</v>
      </c>
      <c r="H18" s="27" t="s">
        <v>414</v>
      </c>
      <c r="I18" s="18" t="s">
        <v>504</v>
      </c>
      <c r="J18" s="18" t="s">
        <v>44</v>
      </c>
      <c r="K18" s="18" t="s">
        <v>14</v>
      </c>
      <c r="L18" s="18"/>
      <c r="M18" s="18" t="s">
        <v>21</v>
      </c>
      <c r="N18" s="18">
        <v>1</v>
      </c>
      <c r="O18" s="18" t="s">
        <v>38</v>
      </c>
      <c r="P18" s="18"/>
      <c r="Q18" s="18" t="s">
        <v>354</v>
      </c>
      <c r="R18" s="18" t="s">
        <v>354</v>
      </c>
      <c r="S18" s="55" t="s">
        <v>712</v>
      </c>
      <c r="T18" s="56" t="s">
        <v>712</v>
      </c>
      <c r="U18" s="56" t="s">
        <v>712</v>
      </c>
      <c r="V18" s="76" t="s">
        <v>713</v>
      </c>
      <c r="W18" s="56" t="s">
        <v>712</v>
      </c>
      <c r="X18" s="56" t="s">
        <v>712</v>
      </c>
      <c r="Y18" s="18" t="s">
        <v>717</v>
      </c>
      <c r="Z18" s="73">
        <v>0</v>
      </c>
      <c r="AA18" s="73">
        <v>0</v>
      </c>
      <c r="AB18" s="73">
        <v>0</v>
      </c>
      <c r="AC18" s="73">
        <v>0</v>
      </c>
      <c r="AD18" s="73">
        <v>0</v>
      </c>
      <c r="AE18" s="73">
        <v>0</v>
      </c>
      <c r="AF18" s="73">
        <v>0</v>
      </c>
    </row>
    <row r="19" spans="2:32" s="57" customFormat="1" x14ac:dyDescent="0.2">
      <c r="B19" s="19" t="str">
        <f>"16-1"</f>
        <v>16-1</v>
      </c>
      <c r="C19" s="18">
        <v>2</v>
      </c>
      <c r="D19" s="18">
        <v>100213515</v>
      </c>
      <c r="E19" s="20" t="str">
        <f t="shared" si="0"/>
        <v>100213515</v>
      </c>
      <c r="F19" s="18" t="s">
        <v>11</v>
      </c>
      <c r="G19" s="18"/>
      <c r="H19" s="23" t="s">
        <v>500</v>
      </c>
      <c r="I19" s="23" t="s">
        <v>505</v>
      </c>
      <c r="J19" s="18" t="s">
        <v>496</v>
      </c>
      <c r="K19" s="18"/>
      <c r="L19" s="18"/>
      <c r="M19" s="18" t="s">
        <v>33</v>
      </c>
      <c r="N19" s="18"/>
      <c r="O19" s="18"/>
      <c r="P19" s="18"/>
      <c r="Q19" s="18"/>
      <c r="R19" s="18"/>
      <c r="S19" s="55"/>
      <c r="T19" s="56"/>
      <c r="U19" s="56"/>
      <c r="V19" s="76"/>
      <c r="W19" s="56"/>
      <c r="X19" s="56"/>
      <c r="Y19" s="18"/>
      <c r="Z19" s="73"/>
      <c r="AA19" s="73"/>
      <c r="AB19" s="73"/>
      <c r="AC19" s="73"/>
      <c r="AD19" s="73"/>
      <c r="AE19" s="73"/>
      <c r="AF19" s="73"/>
    </row>
    <row r="20" spans="2:32" s="57" customFormat="1" x14ac:dyDescent="0.2">
      <c r="B20" s="19" t="str">
        <f>"16-2"</f>
        <v>16-2</v>
      </c>
      <c r="C20" s="18">
        <v>3</v>
      </c>
      <c r="D20" s="22" t="s">
        <v>498</v>
      </c>
      <c r="E20" s="20" t="str">
        <f t="shared" si="0"/>
        <v>600001344</v>
      </c>
      <c r="F20" s="18" t="s">
        <v>11</v>
      </c>
      <c r="G20" s="18"/>
      <c r="H20" s="23" t="s">
        <v>500</v>
      </c>
      <c r="I20" s="23" t="s">
        <v>522</v>
      </c>
      <c r="J20" s="23" t="s">
        <v>501</v>
      </c>
      <c r="K20" s="18"/>
      <c r="L20" s="18"/>
      <c r="M20" s="18" t="s">
        <v>33</v>
      </c>
      <c r="N20" s="18"/>
      <c r="O20" s="18"/>
      <c r="P20" s="18"/>
      <c r="Q20" s="18"/>
      <c r="R20" s="18"/>
      <c r="S20" s="55"/>
      <c r="T20" s="56"/>
      <c r="U20" s="56"/>
      <c r="V20" s="76"/>
      <c r="W20" s="56"/>
      <c r="X20" s="56"/>
      <c r="Y20" s="18"/>
      <c r="Z20" s="73"/>
      <c r="AA20" s="73"/>
      <c r="AB20" s="73"/>
      <c r="AC20" s="73"/>
      <c r="AD20" s="73"/>
      <c r="AE20" s="73"/>
      <c r="AF20" s="73"/>
    </row>
    <row r="21" spans="2:32" s="57" customFormat="1" x14ac:dyDescent="0.2">
      <c r="B21" s="19" t="str">
        <f>"16-3"</f>
        <v>16-3</v>
      </c>
      <c r="C21" s="18">
        <v>3</v>
      </c>
      <c r="D21" s="22" t="s">
        <v>499</v>
      </c>
      <c r="E21" s="20" t="str">
        <f t="shared" si="0"/>
        <v>860213518</v>
      </c>
      <c r="F21" s="18" t="s">
        <v>11</v>
      </c>
      <c r="G21" s="18"/>
      <c r="H21" s="23" t="s">
        <v>500</v>
      </c>
      <c r="I21" s="23" t="s">
        <v>522</v>
      </c>
      <c r="J21" s="23" t="s">
        <v>502</v>
      </c>
      <c r="K21" s="18"/>
      <c r="L21" s="18"/>
      <c r="M21" s="18" t="s">
        <v>33</v>
      </c>
      <c r="N21" s="18"/>
      <c r="O21" s="18"/>
      <c r="P21" s="18"/>
      <c r="Q21" s="18"/>
      <c r="R21" s="18"/>
      <c r="S21" s="55"/>
      <c r="T21" s="56"/>
      <c r="U21" s="56"/>
      <c r="V21" s="76"/>
      <c r="W21" s="56"/>
      <c r="X21" s="56"/>
      <c r="Y21" s="18"/>
      <c r="Z21" s="73"/>
      <c r="AA21" s="73"/>
      <c r="AB21" s="73"/>
      <c r="AC21" s="73"/>
      <c r="AD21" s="73"/>
      <c r="AE21" s="73"/>
      <c r="AF21" s="73"/>
    </row>
    <row r="22" spans="2:32" s="57" customFormat="1" x14ac:dyDescent="0.2">
      <c r="B22" s="15">
        <f>B18+1</f>
        <v>17</v>
      </c>
      <c r="C22" s="11" t="s">
        <v>22</v>
      </c>
      <c r="D22" s="11">
        <v>120213846</v>
      </c>
      <c r="E22" s="20" t="str">
        <f t="shared" si="0"/>
        <v>120213846</v>
      </c>
      <c r="F22" s="11" t="s">
        <v>11</v>
      </c>
      <c r="G22" s="11" t="s">
        <v>45</v>
      </c>
      <c r="H22" s="11" t="s">
        <v>415</v>
      </c>
      <c r="I22" s="11"/>
      <c r="J22" s="11" t="s">
        <v>46</v>
      </c>
      <c r="K22" s="11" t="s">
        <v>14</v>
      </c>
      <c r="L22" s="11"/>
      <c r="M22" s="11" t="s">
        <v>21</v>
      </c>
      <c r="N22" s="11">
        <v>1</v>
      </c>
      <c r="O22" s="11" t="s">
        <v>15</v>
      </c>
      <c r="P22" s="11"/>
      <c r="Q22" s="11" t="s">
        <v>354</v>
      </c>
      <c r="R22" s="11" t="s">
        <v>354</v>
      </c>
      <c r="S22" s="47"/>
      <c r="T22" s="48"/>
      <c r="U22" s="48"/>
      <c r="V22" s="77"/>
      <c r="W22" s="48"/>
      <c r="X22" s="48"/>
      <c r="Y22" s="11"/>
      <c r="Z22" s="70"/>
      <c r="AA22" s="70"/>
      <c r="AB22" s="70"/>
      <c r="AC22" s="70"/>
      <c r="AD22" s="70"/>
      <c r="AE22" s="70"/>
      <c r="AF22" s="70"/>
    </row>
    <row r="23" spans="2:32" s="57" customFormat="1" x14ac:dyDescent="0.2">
      <c r="B23" s="15">
        <f t="shared" ref="B23:B44" si="4">B22+1</f>
        <v>18</v>
      </c>
      <c r="C23" s="11" t="s">
        <v>36</v>
      </c>
      <c r="D23" s="11">
        <v>120213350</v>
      </c>
      <c r="E23" s="20" t="str">
        <f t="shared" si="0"/>
        <v>120213350</v>
      </c>
      <c r="F23" s="11" t="s">
        <v>11</v>
      </c>
      <c r="G23" s="11" t="s">
        <v>47</v>
      </c>
      <c r="H23" s="11" t="s">
        <v>416</v>
      </c>
      <c r="I23" s="11"/>
      <c r="J23" s="11" t="s">
        <v>48</v>
      </c>
      <c r="K23" s="11" t="s">
        <v>14</v>
      </c>
      <c r="L23" s="11"/>
      <c r="M23" s="11" t="s">
        <v>21</v>
      </c>
      <c r="N23" s="11">
        <v>1</v>
      </c>
      <c r="O23" s="11" t="s">
        <v>15</v>
      </c>
      <c r="P23" s="11"/>
      <c r="Q23" s="11" t="s">
        <v>354</v>
      </c>
      <c r="R23" s="11" t="s">
        <v>365</v>
      </c>
      <c r="S23" s="47"/>
      <c r="T23" s="48"/>
      <c r="U23" s="48"/>
      <c r="V23" s="77"/>
      <c r="W23" s="48"/>
      <c r="X23" s="48"/>
      <c r="Y23" s="11"/>
      <c r="Z23" s="70"/>
      <c r="AA23" s="70"/>
      <c r="AB23" s="70"/>
      <c r="AC23" s="70"/>
      <c r="AD23" s="70"/>
      <c r="AE23" s="70"/>
      <c r="AF23" s="70"/>
    </row>
    <row r="24" spans="2:32" s="57" customFormat="1" x14ac:dyDescent="0.2">
      <c r="B24" s="12">
        <f t="shared" si="4"/>
        <v>19</v>
      </c>
      <c r="C24" s="20" t="s">
        <v>49</v>
      </c>
      <c r="D24" s="20">
        <v>230213252</v>
      </c>
      <c r="E24" s="20" t="str">
        <f t="shared" si="0"/>
        <v>230213252</v>
      </c>
      <c r="F24" s="20" t="s">
        <v>11</v>
      </c>
      <c r="G24" s="20" t="s">
        <v>50</v>
      </c>
      <c r="H24" s="20" t="s">
        <v>417</v>
      </c>
      <c r="I24" s="20"/>
      <c r="J24" s="20" t="s">
        <v>51</v>
      </c>
      <c r="K24" s="20" t="s">
        <v>14</v>
      </c>
      <c r="L24" s="20"/>
      <c r="M24" s="20" t="s">
        <v>21</v>
      </c>
      <c r="N24" s="20">
        <v>1</v>
      </c>
      <c r="O24" s="20" t="s">
        <v>15</v>
      </c>
      <c r="P24" s="20"/>
      <c r="Q24" s="20" t="s">
        <v>395</v>
      </c>
      <c r="R24" s="20" t="s">
        <v>346</v>
      </c>
      <c r="S24" s="58" t="s">
        <v>788</v>
      </c>
      <c r="T24" s="59" t="s">
        <v>721</v>
      </c>
      <c r="U24" s="59" t="s">
        <v>719</v>
      </c>
      <c r="V24" s="78">
        <v>2902055</v>
      </c>
      <c r="W24" s="59" t="s">
        <v>828</v>
      </c>
      <c r="X24" s="59" t="s">
        <v>751</v>
      </c>
      <c r="Y24" s="20" t="s">
        <v>717</v>
      </c>
      <c r="Z24" s="71">
        <v>0</v>
      </c>
      <c r="AA24" s="71">
        <v>278300</v>
      </c>
      <c r="AB24" s="71">
        <v>278300</v>
      </c>
      <c r="AC24" s="71">
        <v>248000</v>
      </c>
      <c r="AD24" s="71">
        <f t="shared" ref="AD24:AD30" si="5">$AC24*$N24</f>
        <v>248000</v>
      </c>
      <c r="AE24" s="71">
        <v>248000</v>
      </c>
      <c r="AF24" s="71">
        <f t="shared" ref="AF24:AF30" si="6">$AE24*$N24</f>
        <v>248000</v>
      </c>
    </row>
    <row r="25" spans="2:32" s="57" customFormat="1" x14ac:dyDescent="0.2">
      <c r="B25" s="12">
        <f t="shared" si="4"/>
        <v>20</v>
      </c>
      <c r="C25" s="20" t="s">
        <v>36</v>
      </c>
      <c r="D25" s="20">
        <v>4501116</v>
      </c>
      <c r="E25" s="20" t="str">
        <f t="shared" si="0"/>
        <v>4501116</v>
      </c>
      <c r="F25" s="20" t="s">
        <v>11</v>
      </c>
      <c r="G25" s="20" t="s">
        <v>34</v>
      </c>
      <c r="H25" s="20" t="s">
        <v>418</v>
      </c>
      <c r="I25" s="20"/>
      <c r="J25" s="20" t="s">
        <v>52</v>
      </c>
      <c r="K25" s="20" t="s">
        <v>14</v>
      </c>
      <c r="L25" s="20"/>
      <c r="M25" s="20" t="s">
        <v>18</v>
      </c>
      <c r="N25" s="20">
        <v>2</v>
      </c>
      <c r="O25" s="20" t="s">
        <v>15</v>
      </c>
      <c r="P25" s="20"/>
      <c r="Q25" s="20" t="s">
        <v>395</v>
      </c>
      <c r="R25" s="20" t="s">
        <v>375</v>
      </c>
      <c r="S25" s="58" t="s">
        <v>712</v>
      </c>
      <c r="T25" s="59" t="s">
        <v>722</v>
      </c>
      <c r="U25" s="59" t="s">
        <v>712</v>
      </c>
      <c r="V25" s="78" t="s">
        <v>917</v>
      </c>
      <c r="W25" s="59" t="s">
        <v>815</v>
      </c>
      <c r="X25" s="59" t="s">
        <v>751</v>
      </c>
      <c r="Y25" s="20" t="s">
        <v>717</v>
      </c>
      <c r="Z25" s="71">
        <v>0</v>
      </c>
      <c r="AA25" s="71">
        <v>75</v>
      </c>
      <c r="AB25" s="71">
        <v>150</v>
      </c>
      <c r="AC25" s="71">
        <v>75</v>
      </c>
      <c r="AD25" s="71">
        <f t="shared" si="5"/>
        <v>150</v>
      </c>
      <c r="AE25" s="71">
        <v>75</v>
      </c>
      <c r="AF25" s="71">
        <f t="shared" si="6"/>
        <v>150</v>
      </c>
    </row>
    <row r="26" spans="2:32" s="57" customFormat="1" x14ac:dyDescent="0.2">
      <c r="B26" s="12">
        <f t="shared" si="4"/>
        <v>21</v>
      </c>
      <c r="C26" s="20" t="s">
        <v>36</v>
      </c>
      <c r="D26" s="20">
        <v>510000152</v>
      </c>
      <c r="E26" s="20" t="str">
        <f t="shared" si="0"/>
        <v>510000152</v>
      </c>
      <c r="F26" s="20" t="s">
        <v>11</v>
      </c>
      <c r="G26" s="20" t="s">
        <v>53</v>
      </c>
      <c r="H26" s="20" t="s">
        <v>419</v>
      </c>
      <c r="I26" s="20"/>
      <c r="J26" s="20" t="s">
        <v>356</v>
      </c>
      <c r="K26" s="20" t="s">
        <v>14</v>
      </c>
      <c r="L26" s="20"/>
      <c r="M26" s="20" t="s">
        <v>55</v>
      </c>
      <c r="N26" s="20">
        <v>4</v>
      </c>
      <c r="O26" s="20" t="s">
        <v>15</v>
      </c>
      <c r="P26" s="20"/>
      <c r="Q26" s="20" t="s">
        <v>395</v>
      </c>
      <c r="R26" s="20" t="s">
        <v>346</v>
      </c>
      <c r="S26" s="58" t="s">
        <v>788</v>
      </c>
      <c r="T26" s="59" t="s">
        <v>721</v>
      </c>
      <c r="U26" s="59" t="s">
        <v>719</v>
      </c>
      <c r="V26" s="78" t="s">
        <v>918</v>
      </c>
      <c r="W26" s="59" t="s">
        <v>828</v>
      </c>
      <c r="X26" s="59" t="s">
        <v>751</v>
      </c>
      <c r="Y26" s="20" t="s">
        <v>717</v>
      </c>
      <c r="Z26" s="71">
        <v>0</v>
      </c>
      <c r="AA26" s="71">
        <v>90</v>
      </c>
      <c r="AB26" s="71">
        <v>360</v>
      </c>
      <c r="AC26" s="71">
        <v>80</v>
      </c>
      <c r="AD26" s="71">
        <f t="shared" si="5"/>
        <v>320</v>
      </c>
      <c r="AE26" s="71">
        <v>80</v>
      </c>
      <c r="AF26" s="71">
        <f t="shared" si="6"/>
        <v>320</v>
      </c>
    </row>
    <row r="27" spans="2:32" s="57" customFormat="1" x14ac:dyDescent="0.2">
      <c r="B27" s="12">
        <f t="shared" si="4"/>
        <v>22</v>
      </c>
      <c r="C27" s="20" t="s">
        <v>36</v>
      </c>
      <c r="D27" s="20">
        <v>5101302</v>
      </c>
      <c r="E27" s="20" t="str">
        <f t="shared" si="0"/>
        <v>5101302</v>
      </c>
      <c r="F27" s="20" t="s">
        <v>11</v>
      </c>
      <c r="G27" s="20" t="s">
        <v>56</v>
      </c>
      <c r="H27" s="20" t="s">
        <v>420</v>
      </c>
      <c r="I27" s="20"/>
      <c r="J27" s="20" t="s">
        <v>57</v>
      </c>
      <c r="K27" s="20" t="s">
        <v>14</v>
      </c>
      <c r="L27" s="20"/>
      <c r="M27" s="20" t="s">
        <v>21</v>
      </c>
      <c r="N27" s="20">
        <v>1</v>
      </c>
      <c r="O27" s="20" t="s">
        <v>15</v>
      </c>
      <c r="P27" s="20"/>
      <c r="Q27" s="20" t="s">
        <v>395</v>
      </c>
      <c r="R27" s="20" t="s">
        <v>346</v>
      </c>
      <c r="S27" s="58" t="s">
        <v>783</v>
      </c>
      <c r="T27" s="59" t="s">
        <v>793</v>
      </c>
      <c r="U27" s="59" t="s">
        <v>712</v>
      </c>
      <c r="V27" s="78" t="s">
        <v>919</v>
      </c>
      <c r="W27" s="59" t="s">
        <v>816</v>
      </c>
      <c r="X27" s="59" t="s">
        <v>752</v>
      </c>
      <c r="Y27" s="20" t="s">
        <v>717</v>
      </c>
      <c r="Z27" s="71">
        <v>0</v>
      </c>
      <c r="AA27" s="71">
        <v>600</v>
      </c>
      <c r="AB27" s="71">
        <v>600</v>
      </c>
      <c r="AC27" s="71">
        <v>600</v>
      </c>
      <c r="AD27" s="71">
        <f t="shared" si="5"/>
        <v>600</v>
      </c>
      <c r="AE27" s="71">
        <v>600</v>
      </c>
      <c r="AF27" s="71">
        <f t="shared" si="6"/>
        <v>600</v>
      </c>
    </row>
    <row r="28" spans="2:32" s="57" customFormat="1" ht="27" x14ac:dyDescent="0.2">
      <c r="B28" s="12">
        <f t="shared" si="4"/>
        <v>23</v>
      </c>
      <c r="C28" s="20" t="s">
        <v>36</v>
      </c>
      <c r="D28" s="20">
        <v>5101522</v>
      </c>
      <c r="E28" s="20" t="str">
        <f t="shared" si="0"/>
        <v>5101522</v>
      </c>
      <c r="F28" s="20" t="s">
        <v>11</v>
      </c>
      <c r="G28" s="20" t="s">
        <v>58</v>
      </c>
      <c r="H28" s="20" t="s">
        <v>421</v>
      </c>
      <c r="I28" s="20"/>
      <c r="J28" s="20" t="s">
        <v>59</v>
      </c>
      <c r="K28" s="20" t="s">
        <v>14</v>
      </c>
      <c r="L28" s="20"/>
      <c r="M28" s="20" t="s">
        <v>55</v>
      </c>
      <c r="N28" s="20">
        <v>4</v>
      </c>
      <c r="O28" s="20" t="s">
        <v>15</v>
      </c>
      <c r="P28" s="20"/>
      <c r="Q28" s="20" t="s">
        <v>395</v>
      </c>
      <c r="R28" s="20" t="s">
        <v>346</v>
      </c>
      <c r="S28" s="58" t="s">
        <v>920</v>
      </c>
      <c r="T28" s="59" t="s">
        <v>793</v>
      </c>
      <c r="U28" s="59" t="s">
        <v>718</v>
      </c>
      <c r="V28" s="78" t="s">
        <v>921</v>
      </c>
      <c r="W28" s="59" t="s">
        <v>816</v>
      </c>
      <c r="X28" s="59" t="s">
        <v>751</v>
      </c>
      <c r="Y28" s="20" t="s">
        <v>717</v>
      </c>
      <c r="Z28" s="71">
        <v>0</v>
      </c>
      <c r="AA28" s="71">
        <v>120</v>
      </c>
      <c r="AB28" s="71">
        <v>480</v>
      </c>
      <c r="AC28" s="71">
        <v>120</v>
      </c>
      <c r="AD28" s="71">
        <f t="shared" si="5"/>
        <v>480</v>
      </c>
      <c r="AE28" s="71">
        <v>120</v>
      </c>
      <c r="AF28" s="71">
        <f t="shared" si="6"/>
        <v>480</v>
      </c>
    </row>
    <row r="29" spans="2:32" s="57" customFormat="1" x14ac:dyDescent="0.2">
      <c r="B29" s="12">
        <f t="shared" si="4"/>
        <v>24</v>
      </c>
      <c r="C29" s="20" t="s">
        <v>36</v>
      </c>
      <c r="D29" s="20">
        <v>5101967</v>
      </c>
      <c r="E29" s="20" t="str">
        <f t="shared" si="0"/>
        <v>5101967</v>
      </c>
      <c r="F29" s="20" t="s">
        <v>11</v>
      </c>
      <c r="G29" s="20" t="s">
        <v>60</v>
      </c>
      <c r="H29" s="20" t="s">
        <v>422</v>
      </c>
      <c r="I29" s="20"/>
      <c r="J29" s="20" t="s">
        <v>61</v>
      </c>
      <c r="K29" s="20" t="s">
        <v>14</v>
      </c>
      <c r="L29" s="20"/>
      <c r="M29" s="20" t="s">
        <v>18</v>
      </c>
      <c r="N29" s="20">
        <v>2</v>
      </c>
      <c r="O29" s="20" t="s">
        <v>15</v>
      </c>
      <c r="P29" s="20"/>
      <c r="Q29" s="20" t="s">
        <v>353</v>
      </c>
      <c r="R29" s="20" t="s">
        <v>346</v>
      </c>
      <c r="S29" s="58" t="s">
        <v>786</v>
      </c>
      <c r="T29" s="59" t="s">
        <v>793</v>
      </c>
      <c r="U29" s="59" t="s">
        <v>712</v>
      </c>
      <c r="V29" s="78" t="s">
        <v>922</v>
      </c>
      <c r="W29" s="59" t="s">
        <v>816</v>
      </c>
      <c r="X29" s="59" t="s">
        <v>753</v>
      </c>
      <c r="Y29" s="20" t="s">
        <v>717</v>
      </c>
      <c r="Z29" s="71">
        <v>0</v>
      </c>
      <c r="AA29" s="71">
        <v>2800</v>
      </c>
      <c r="AB29" s="71">
        <v>5600</v>
      </c>
      <c r="AC29" s="71">
        <v>2800</v>
      </c>
      <c r="AD29" s="71">
        <f t="shared" si="5"/>
        <v>5600</v>
      </c>
      <c r="AE29" s="71">
        <v>2800</v>
      </c>
      <c r="AF29" s="71">
        <f t="shared" si="6"/>
        <v>5600</v>
      </c>
    </row>
    <row r="30" spans="2:32" s="57" customFormat="1" ht="27" x14ac:dyDescent="0.2">
      <c r="B30" s="12">
        <f t="shared" si="4"/>
        <v>25</v>
      </c>
      <c r="C30" s="20" t="s">
        <v>36</v>
      </c>
      <c r="D30" s="20">
        <v>7700325</v>
      </c>
      <c r="E30" s="20" t="str">
        <f t="shared" si="0"/>
        <v>7700325</v>
      </c>
      <c r="F30" s="20" t="s">
        <v>11</v>
      </c>
      <c r="G30" s="20" t="s">
        <v>62</v>
      </c>
      <c r="H30" s="20" t="s">
        <v>423</v>
      </c>
      <c r="I30" s="20"/>
      <c r="J30" s="20" t="s">
        <v>63</v>
      </c>
      <c r="K30" s="20" t="s">
        <v>14</v>
      </c>
      <c r="L30" s="20"/>
      <c r="M30" s="20" t="s">
        <v>64</v>
      </c>
      <c r="N30" s="20">
        <v>0.8</v>
      </c>
      <c r="O30" s="20" t="s">
        <v>15</v>
      </c>
      <c r="P30" s="20"/>
      <c r="Q30" s="20" t="s">
        <v>395</v>
      </c>
      <c r="R30" s="20" t="s">
        <v>357</v>
      </c>
      <c r="S30" s="58" t="s">
        <v>825</v>
      </c>
      <c r="T30" s="59" t="s">
        <v>721</v>
      </c>
      <c r="U30" s="59" t="s">
        <v>720</v>
      </c>
      <c r="V30" s="78" t="s">
        <v>923</v>
      </c>
      <c r="W30" s="59" t="s">
        <v>810</v>
      </c>
      <c r="X30" s="59" t="s">
        <v>754</v>
      </c>
      <c r="Y30" s="20" t="s">
        <v>717</v>
      </c>
      <c r="Z30" s="71">
        <v>0</v>
      </c>
      <c r="AA30" s="71">
        <v>3920</v>
      </c>
      <c r="AB30" s="71">
        <v>3920</v>
      </c>
      <c r="AC30" s="71">
        <v>20000</v>
      </c>
      <c r="AD30" s="71">
        <f t="shared" si="5"/>
        <v>16000</v>
      </c>
      <c r="AE30" s="71">
        <v>3920</v>
      </c>
      <c r="AF30" s="71">
        <f t="shared" si="6"/>
        <v>3136</v>
      </c>
    </row>
    <row r="31" spans="2:32" s="57" customFormat="1" x14ac:dyDescent="0.2">
      <c r="B31" s="15">
        <f t="shared" si="4"/>
        <v>26</v>
      </c>
      <c r="C31" s="11" t="s">
        <v>22</v>
      </c>
      <c r="D31" s="11">
        <v>120213847</v>
      </c>
      <c r="E31" s="20" t="str">
        <f t="shared" si="0"/>
        <v>120213847</v>
      </c>
      <c r="F31" s="11" t="s">
        <v>11</v>
      </c>
      <c r="G31" s="11" t="s">
        <v>65</v>
      </c>
      <c r="H31" s="11" t="s">
        <v>424</v>
      </c>
      <c r="I31" s="11"/>
      <c r="J31" s="11" t="s">
        <v>66</v>
      </c>
      <c r="K31" s="11" t="s">
        <v>14</v>
      </c>
      <c r="L31" s="11"/>
      <c r="M31" s="11" t="s">
        <v>21</v>
      </c>
      <c r="N31" s="11">
        <v>1</v>
      </c>
      <c r="O31" s="11" t="s">
        <v>15</v>
      </c>
      <c r="P31" s="11"/>
      <c r="Q31" s="11" t="s">
        <v>354</v>
      </c>
      <c r="R31" s="11" t="s">
        <v>354</v>
      </c>
      <c r="S31" s="47"/>
      <c r="T31" s="48"/>
      <c r="U31" s="48"/>
      <c r="V31" s="77"/>
      <c r="W31" s="48"/>
      <c r="X31" s="48"/>
      <c r="Y31" s="11"/>
      <c r="Z31" s="70"/>
      <c r="AA31" s="70"/>
      <c r="AB31" s="70"/>
      <c r="AC31" s="70"/>
      <c r="AD31" s="70"/>
      <c r="AE31" s="70"/>
      <c r="AF31" s="70"/>
    </row>
    <row r="32" spans="2:32" s="57" customFormat="1" x14ac:dyDescent="0.2">
      <c r="B32" s="15">
        <f t="shared" si="4"/>
        <v>27</v>
      </c>
      <c r="C32" s="11" t="s">
        <v>36</v>
      </c>
      <c r="D32" s="11">
        <v>120213350</v>
      </c>
      <c r="E32" s="20" t="str">
        <f t="shared" si="0"/>
        <v>120213350</v>
      </c>
      <c r="F32" s="11" t="s">
        <v>11</v>
      </c>
      <c r="G32" s="11" t="s">
        <v>47</v>
      </c>
      <c r="H32" s="11" t="s">
        <v>416</v>
      </c>
      <c r="I32" s="11"/>
      <c r="J32" s="11" t="s">
        <v>48</v>
      </c>
      <c r="K32" s="11" t="s">
        <v>14</v>
      </c>
      <c r="L32" s="11"/>
      <c r="M32" s="11" t="s">
        <v>21</v>
      </c>
      <c r="N32" s="11">
        <v>1</v>
      </c>
      <c r="O32" s="11" t="s">
        <v>15</v>
      </c>
      <c r="P32" s="11"/>
      <c r="Q32" s="11" t="s">
        <v>354</v>
      </c>
      <c r="R32" s="11" t="s">
        <v>365</v>
      </c>
      <c r="S32" s="47"/>
      <c r="T32" s="48"/>
      <c r="U32" s="48"/>
      <c r="V32" s="77"/>
      <c r="W32" s="48"/>
      <c r="X32" s="48"/>
      <c r="Y32" s="11"/>
      <c r="Z32" s="70"/>
      <c r="AA32" s="70"/>
      <c r="AB32" s="70"/>
      <c r="AC32" s="70"/>
      <c r="AD32" s="70"/>
      <c r="AE32" s="70"/>
      <c r="AF32" s="70"/>
    </row>
    <row r="33" spans="2:32" s="57" customFormat="1" x14ac:dyDescent="0.2">
      <c r="B33" s="12">
        <f t="shared" si="4"/>
        <v>28</v>
      </c>
      <c r="C33" s="20" t="s">
        <v>49</v>
      </c>
      <c r="D33" s="20">
        <v>230213252</v>
      </c>
      <c r="E33" s="20" t="str">
        <f t="shared" si="0"/>
        <v>230213252</v>
      </c>
      <c r="F33" s="20" t="s">
        <v>11</v>
      </c>
      <c r="G33" s="20" t="s">
        <v>50</v>
      </c>
      <c r="H33" s="20" t="s">
        <v>417</v>
      </c>
      <c r="I33" s="20"/>
      <c r="J33" s="20" t="s">
        <v>51</v>
      </c>
      <c r="K33" s="20" t="s">
        <v>14</v>
      </c>
      <c r="L33" s="20"/>
      <c r="M33" s="20" t="s">
        <v>21</v>
      </c>
      <c r="N33" s="20">
        <v>1</v>
      </c>
      <c r="O33" s="20" t="s">
        <v>15</v>
      </c>
      <c r="P33" s="20"/>
      <c r="Q33" s="20" t="s">
        <v>395</v>
      </c>
      <c r="R33" s="20" t="s">
        <v>346</v>
      </c>
      <c r="S33" s="58" t="s">
        <v>788</v>
      </c>
      <c r="T33" s="59" t="s">
        <v>721</v>
      </c>
      <c r="U33" s="59" t="s">
        <v>719</v>
      </c>
      <c r="V33" s="78">
        <v>2902055</v>
      </c>
      <c r="W33" s="59" t="s">
        <v>828</v>
      </c>
      <c r="X33" s="59" t="s">
        <v>751</v>
      </c>
      <c r="Y33" s="20" t="s">
        <v>717</v>
      </c>
      <c r="Z33" s="71">
        <v>0</v>
      </c>
      <c r="AA33" s="71">
        <v>278300</v>
      </c>
      <c r="AB33" s="71">
        <v>278300</v>
      </c>
      <c r="AC33" s="71">
        <v>248000</v>
      </c>
      <c r="AD33" s="71">
        <f t="shared" ref="AD33:AD44" si="7">$AC33*$N33</f>
        <v>248000</v>
      </c>
      <c r="AE33" s="71">
        <v>248000</v>
      </c>
      <c r="AF33" s="71">
        <f t="shared" ref="AF33:AF44" si="8">$AE33*$N33</f>
        <v>248000</v>
      </c>
    </row>
    <row r="34" spans="2:32" s="57" customFormat="1" x14ac:dyDescent="0.2">
      <c r="B34" s="12">
        <f t="shared" si="4"/>
        <v>29</v>
      </c>
      <c r="C34" s="20" t="s">
        <v>36</v>
      </c>
      <c r="D34" s="20">
        <v>4501116</v>
      </c>
      <c r="E34" s="20" t="str">
        <f t="shared" si="0"/>
        <v>4501116</v>
      </c>
      <c r="F34" s="20" t="s">
        <v>11</v>
      </c>
      <c r="G34" s="20" t="s">
        <v>34</v>
      </c>
      <c r="H34" s="20" t="s">
        <v>418</v>
      </c>
      <c r="I34" s="20"/>
      <c r="J34" s="20" t="s">
        <v>52</v>
      </c>
      <c r="K34" s="20" t="s">
        <v>14</v>
      </c>
      <c r="L34" s="20"/>
      <c r="M34" s="20" t="s">
        <v>18</v>
      </c>
      <c r="N34" s="20">
        <v>2</v>
      </c>
      <c r="O34" s="20" t="s">
        <v>15</v>
      </c>
      <c r="P34" s="20"/>
      <c r="Q34" s="20" t="s">
        <v>395</v>
      </c>
      <c r="R34" s="20" t="s">
        <v>346</v>
      </c>
      <c r="S34" s="58" t="s">
        <v>712</v>
      </c>
      <c r="T34" s="59" t="s">
        <v>722</v>
      </c>
      <c r="U34" s="59" t="s">
        <v>712</v>
      </c>
      <c r="V34" s="78" t="s">
        <v>917</v>
      </c>
      <c r="W34" s="59" t="s">
        <v>815</v>
      </c>
      <c r="X34" s="59" t="s">
        <v>751</v>
      </c>
      <c r="Y34" s="20" t="s">
        <v>717</v>
      </c>
      <c r="Z34" s="71">
        <v>0</v>
      </c>
      <c r="AA34" s="71">
        <v>75</v>
      </c>
      <c r="AB34" s="71">
        <v>150</v>
      </c>
      <c r="AC34" s="71">
        <v>75</v>
      </c>
      <c r="AD34" s="71">
        <f t="shared" si="7"/>
        <v>150</v>
      </c>
      <c r="AE34" s="71">
        <v>75</v>
      </c>
      <c r="AF34" s="71">
        <f t="shared" si="8"/>
        <v>150</v>
      </c>
    </row>
    <row r="35" spans="2:32" s="57" customFormat="1" x14ac:dyDescent="0.2">
      <c r="B35" s="12">
        <f t="shared" si="4"/>
        <v>30</v>
      </c>
      <c r="C35" s="20" t="s">
        <v>36</v>
      </c>
      <c r="D35" s="20">
        <v>510000152</v>
      </c>
      <c r="E35" s="20" t="str">
        <f t="shared" si="0"/>
        <v>510000152</v>
      </c>
      <c r="F35" s="20" t="s">
        <v>11</v>
      </c>
      <c r="G35" s="20" t="s">
        <v>53</v>
      </c>
      <c r="H35" s="20" t="s">
        <v>419</v>
      </c>
      <c r="I35" s="20"/>
      <c r="J35" s="20" t="s">
        <v>54</v>
      </c>
      <c r="K35" s="20" t="s">
        <v>14</v>
      </c>
      <c r="L35" s="20"/>
      <c r="M35" s="20" t="s">
        <v>55</v>
      </c>
      <c r="N35" s="20">
        <v>4</v>
      </c>
      <c r="O35" s="20" t="s">
        <v>15</v>
      </c>
      <c r="P35" s="20"/>
      <c r="Q35" s="20" t="s">
        <v>395</v>
      </c>
      <c r="R35" s="20" t="s">
        <v>346</v>
      </c>
      <c r="S35" s="58" t="s">
        <v>788</v>
      </c>
      <c r="T35" s="59" t="s">
        <v>721</v>
      </c>
      <c r="U35" s="59" t="s">
        <v>719</v>
      </c>
      <c r="V35" s="78" t="s">
        <v>924</v>
      </c>
      <c r="W35" s="59" t="s">
        <v>828</v>
      </c>
      <c r="X35" s="59" t="s">
        <v>751</v>
      </c>
      <c r="Y35" s="20" t="s">
        <v>717</v>
      </c>
      <c r="Z35" s="71">
        <v>0</v>
      </c>
      <c r="AA35" s="71">
        <v>90</v>
      </c>
      <c r="AB35" s="71">
        <v>360</v>
      </c>
      <c r="AC35" s="71">
        <v>80</v>
      </c>
      <c r="AD35" s="71">
        <f t="shared" si="7"/>
        <v>320</v>
      </c>
      <c r="AE35" s="71">
        <v>80</v>
      </c>
      <c r="AF35" s="71">
        <f t="shared" si="8"/>
        <v>320</v>
      </c>
    </row>
    <row r="36" spans="2:32" s="57" customFormat="1" x14ac:dyDescent="0.2">
      <c r="B36" s="12">
        <f t="shared" si="4"/>
        <v>31</v>
      </c>
      <c r="C36" s="20" t="s">
        <v>36</v>
      </c>
      <c r="D36" s="20">
        <v>5101302</v>
      </c>
      <c r="E36" s="20" t="str">
        <f t="shared" si="0"/>
        <v>5101302</v>
      </c>
      <c r="F36" s="20" t="s">
        <v>11</v>
      </c>
      <c r="G36" s="20" t="s">
        <v>56</v>
      </c>
      <c r="H36" s="20" t="s">
        <v>420</v>
      </c>
      <c r="I36" s="20"/>
      <c r="J36" s="20" t="s">
        <v>57</v>
      </c>
      <c r="K36" s="20" t="s">
        <v>14</v>
      </c>
      <c r="L36" s="20"/>
      <c r="M36" s="20" t="s">
        <v>21</v>
      </c>
      <c r="N36" s="20">
        <v>1</v>
      </c>
      <c r="O36" s="20" t="s">
        <v>15</v>
      </c>
      <c r="P36" s="20"/>
      <c r="Q36" s="20" t="s">
        <v>395</v>
      </c>
      <c r="R36" s="20" t="s">
        <v>346</v>
      </c>
      <c r="S36" s="58" t="s">
        <v>783</v>
      </c>
      <c r="T36" s="59" t="s">
        <v>793</v>
      </c>
      <c r="U36" s="59" t="s">
        <v>712</v>
      </c>
      <c r="V36" s="78" t="s">
        <v>919</v>
      </c>
      <c r="W36" s="59" t="s">
        <v>816</v>
      </c>
      <c r="X36" s="59" t="s">
        <v>752</v>
      </c>
      <c r="Y36" s="20" t="s">
        <v>717</v>
      </c>
      <c r="Z36" s="71">
        <v>0</v>
      </c>
      <c r="AA36" s="71">
        <v>600</v>
      </c>
      <c r="AB36" s="71">
        <v>600</v>
      </c>
      <c r="AC36" s="71">
        <v>600</v>
      </c>
      <c r="AD36" s="71">
        <f t="shared" si="7"/>
        <v>600</v>
      </c>
      <c r="AE36" s="71">
        <v>600</v>
      </c>
      <c r="AF36" s="71">
        <f t="shared" si="8"/>
        <v>600</v>
      </c>
    </row>
    <row r="37" spans="2:32" s="57" customFormat="1" ht="27" x14ac:dyDescent="0.2">
      <c r="B37" s="12">
        <f t="shared" si="4"/>
        <v>32</v>
      </c>
      <c r="C37" s="20" t="s">
        <v>36</v>
      </c>
      <c r="D37" s="20">
        <v>5101522</v>
      </c>
      <c r="E37" s="20" t="str">
        <f t="shared" si="0"/>
        <v>5101522</v>
      </c>
      <c r="F37" s="20" t="s">
        <v>11</v>
      </c>
      <c r="G37" s="20" t="s">
        <v>58</v>
      </c>
      <c r="H37" s="20" t="s">
        <v>421</v>
      </c>
      <c r="I37" s="20"/>
      <c r="J37" s="20" t="s">
        <v>59</v>
      </c>
      <c r="K37" s="20" t="s">
        <v>14</v>
      </c>
      <c r="L37" s="20"/>
      <c r="M37" s="20" t="s">
        <v>55</v>
      </c>
      <c r="N37" s="20">
        <v>4</v>
      </c>
      <c r="O37" s="20" t="s">
        <v>15</v>
      </c>
      <c r="P37" s="20"/>
      <c r="Q37" s="20" t="s">
        <v>395</v>
      </c>
      <c r="R37" s="20" t="s">
        <v>346</v>
      </c>
      <c r="S37" s="58" t="s">
        <v>784</v>
      </c>
      <c r="T37" s="59" t="s">
        <v>793</v>
      </c>
      <c r="U37" s="59" t="s">
        <v>718</v>
      </c>
      <c r="V37" s="78" t="s">
        <v>925</v>
      </c>
      <c r="W37" s="59" t="s">
        <v>816</v>
      </c>
      <c r="X37" s="59" t="s">
        <v>751</v>
      </c>
      <c r="Y37" s="20" t="s">
        <v>717</v>
      </c>
      <c r="Z37" s="71">
        <v>0</v>
      </c>
      <c r="AA37" s="71">
        <v>120</v>
      </c>
      <c r="AB37" s="71">
        <v>480</v>
      </c>
      <c r="AC37" s="71">
        <v>120</v>
      </c>
      <c r="AD37" s="71">
        <f t="shared" si="7"/>
        <v>480</v>
      </c>
      <c r="AE37" s="71">
        <v>120</v>
      </c>
      <c r="AF37" s="71">
        <f t="shared" si="8"/>
        <v>480</v>
      </c>
    </row>
    <row r="38" spans="2:32" s="57" customFormat="1" x14ac:dyDescent="0.2">
      <c r="B38" s="12">
        <f t="shared" si="4"/>
        <v>33</v>
      </c>
      <c r="C38" s="20" t="s">
        <v>36</v>
      </c>
      <c r="D38" s="20">
        <v>5101967</v>
      </c>
      <c r="E38" s="20" t="str">
        <f t="shared" si="0"/>
        <v>5101967</v>
      </c>
      <c r="F38" s="20" t="s">
        <v>11</v>
      </c>
      <c r="G38" s="20" t="s">
        <v>60</v>
      </c>
      <c r="H38" s="20" t="s">
        <v>422</v>
      </c>
      <c r="I38" s="20"/>
      <c r="J38" s="20" t="s">
        <v>61</v>
      </c>
      <c r="K38" s="20" t="s">
        <v>14</v>
      </c>
      <c r="L38" s="20"/>
      <c r="M38" s="20" t="s">
        <v>18</v>
      </c>
      <c r="N38" s="20">
        <v>2</v>
      </c>
      <c r="O38" s="20" t="s">
        <v>15</v>
      </c>
      <c r="P38" s="20"/>
      <c r="Q38" s="20" t="s">
        <v>395</v>
      </c>
      <c r="R38" s="20" t="s">
        <v>346</v>
      </c>
      <c r="S38" s="58" t="s">
        <v>786</v>
      </c>
      <c r="T38" s="59" t="s">
        <v>793</v>
      </c>
      <c r="U38" s="59" t="s">
        <v>712</v>
      </c>
      <c r="V38" s="78" t="s">
        <v>827</v>
      </c>
      <c r="W38" s="59" t="s">
        <v>816</v>
      </c>
      <c r="X38" s="59" t="s">
        <v>753</v>
      </c>
      <c r="Y38" s="20" t="s">
        <v>717</v>
      </c>
      <c r="Z38" s="71">
        <v>0</v>
      </c>
      <c r="AA38" s="71">
        <v>2800</v>
      </c>
      <c r="AB38" s="71">
        <v>5600</v>
      </c>
      <c r="AC38" s="71">
        <v>2800</v>
      </c>
      <c r="AD38" s="71">
        <f t="shared" si="7"/>
        <v>5600</v>
      </c>
      <c r="AE38" s="71">
        <v>2800</v>
      </c>
      <c r="AF38" s="71">
        <f t="shared" si="8"/>
        <v>5600</v>
      </c>
    </row>
    <row r="39" spans="2:32" s="57" customFormat="1" ht="27" x14ac:dyDescent="0.2">
      <c r="B39" s="12">
        <f t="shared" si="4"/>
        <v>34</v>
      </c>
      <c r="C39" s="20" t="s">
        <v>36</v>
      </c>
      <c r="D39" s="20">
        <v>7700325</v>
      </c>
      <c r="E39" s="20" t="str">
        <f t="shared" si="0"/>
        <v>7700325</v>
      </c>
      <c r="F39" s="20" t="s">
        <v>11</v>
      </c>
      <c r="G39" s="20" t="s">
        <v>62</v>
      </c>
      <c r="H39" s="20" t="s">
        <v>423</v>
      </c>
      <c r="I39" s="20"/>
      <c r="J39" s="20" t="s">
        <v>63</v>
      </c>
      <c r="K39" s="20" t="s">
        <v>14</v>
      </c>
      <c r="L39" s="20"/>
      <c r="M39" s="20" t="s">
        <v>64</v>
      </c>
      <c r="N39" s="20">
        <v>0.8</v>
      </c>
      <c r="O39" s="20" t="s">
        <v>15</v>
      </c>
      <c r="P39" s="20"/>
      <c r="Q39" s="20" t="s">
        <v>395</v>
      </c>
      <c r="R39" s="20" t="s">
        <v>357</v>
      </c>
      <c r="S39" s="58" t="s">
        <v>825</v>
      </c>
      <c r="T39" s="59" t="s">
        <v>721</v>
      </c>
      <c r="U39" s="59" t="s">
        <v>720</v>
      </c>
      <c r="V39" s="78" t="s">
        <v>926</v>
      </c>
      <c r="W39" s="59" t="s">
        <v>810</v>
      </c>
      <c r="X39" s="59" t="s">
        <v>754</v>
      </c>
      <c r="Y39" s="20" t="s">
        <v>717</v>
      </c>
      <c r="Z39" s="71">
        <v>0</v>
      </c>
      <c r="AA39" s="71">
        <v>3920</v>
      </c>
      <c r="AB39" s="71">
        <v>3920</v>
      </c>
      <c r="AC39" s="71">
        <v>20000</v>
      </c>
      <c r="AD39" s="71">
        <f t="shared" si="7"/>
        <v>16000</v>
      </c>
      <c r="AE39" s="71">
        <v>3920</v>
      </c>
      <c r="AF39" s="71">
        <f t="shared" si="8"/>
        <v>3136</v>
      </c>
    </row>
    <row r="40" spans="2:32" s="60" customFormat="1" ht="67.5" x14ac:dyDescent="0.2">
      <c r="B40" s="12">
        <f t="shared" si="4"/>
        <v>35</v>
      </c>
      <c r="C40" s="20" t="s">
        <v>22</v>
      </c>
      <c r="D40" s="20">
        <v>190002360</v>
      </c>
      <c r="E40" s="20" t="str">
        <f t="shared" si="0"/>
        <v>190002360</v>
      </c>
      <c r="F40" s="20" t="s">
        <v>11</v>
      </c>
      <c r="G40" s="20" t="s">
        <v>29</v>
      </c>
      <c r="H40" s="20" t="s">
        <v>412</v>
      </c>
      <c r="I40" s="20"/>
      <c r="J40" s="20" t="s">
        <v>67</v>
      </c>
      <c r="K40" s="20" t="s">
        <v>68</v>
      </c>
      <c r="L40" s="20"/>
      <c r="M40" s="20" t="s">
        <v>21</v>
      </c>
      <c r="N40" s="20">
        <v>1</v>
      </c>
      <c r="O40" s="20" t="s">
        <v>15</v>
      </c>
      <c r="P40" s="20"/>
      <c r="Q40" s="20" t="s">
        <v>395</v>
      </c>
      <c r="R40" s="20" t="s">
        <v>346</v>
      </c>
      <c r="S40" s="58" t="s">
        <v>829</v>
      </c>
      <c r="T40" s="59" t="s">
        <v>738</v>
      </c>
      <c r="U40" s="59" t="s">
        <v>712</v>
      </c>
      <c r="V40" s="78" t="s">
        <v>831</v>
      </c>
      <c r="W40" s="59" t="s">
        <v>809</v>
      </c>
      <c r="X40" s="59" t="s">
        <v>755</v>
      </c>
      <c r="Y40" s="20" t="s">
        <v>717</v>
      </c>
      <c r="Z40" s="71">
        <v>0</v>
      </c>
      <c r="AA40" s="71">
        <v>371650</v>
      </c>
      <c r="AB40" s="71">
        <v>371650</v>
      </c>
      <c r="AC40" s="71">
        <v>371650</v>
      </c>
      <c r="AD40" s="71">
        <f t="shared" si="7"/>
        <v>371650</v>
      </c>
      <c r="AE40" s="71">
        <v>371650</v>
      </c>
      <c r="AF40" s="71">
        <f t="shared" si="8"/>
        <v>371650</v>
      </c>
    </row>
    <row r="41" spans="2:32" s="57" customFormat="1" x14ac:dyDescent="0.2">
      <c r="B41" s="12">
        <f t="shared" si="4"/>
        <v>36</v>
      </c>
      <c r="C41" s="20" t="s">
        <v>22</v>
      </c>
      <c r="D41" s="20">
        <v>500000271</v>
      </c>
      <c r="E41" s="20" t="str">
        <f t="shared" si="0"/>
        <v>500000271</v>
      </c>
      <c r="F41" s="20" t="s">
        <v>11</v>
      </c>
      <c r="G41" s="20" t="s">
        <v>23</v>
      </c>
      <c r="H41" s="20" t="s">
        <v>410</v>
      </c>
      <c r="I41" s="20"/>
      <c r="J41" s="20" t="s">
        <v>69</v>
      </c>
      <c r="K41" s="20" t="s">
        <v>70</v>
      </c>
      <c r="L41" s="20"/>
      <c r="M41" s="20" t="s">
        <v>18</v>
      </c>
      <c r="N41" s="20">
        <v>2</v>
      </c>
      <c r="O41" s="20" t="s">
        <v>15</v>
      </c>
      <c r="P41" s="20"/>
      <c r="Q41" s="20" t="s">
        <v>395</v>
      </c>
      <c r="R41" s="20" t="s">
        <v>346</v>
      </c>
      <c r="S41" s="58" t="s">
        <v>759</v>
      </c>
      <c r="T41" s="59" t="s">
        <v>793</v>
      </c>
      <c r="U41" s="59" t="s">
        <v>712</v>
      </c>
      <c r="V41" s="78" t="s">
        <v>832</v>
      </c>
      <c r="W41" s="59" t="s">
        <v>803</v>
      </c>
      <c r="X41" s="59" t="s">
        <v>756</v>
      </c>
      <c r="Y41" s="20" t="s">
        <v>717</v>
      </c>
      <c r="Z41" s="71">
        <v>0</v>
      </c>
      <c r="AA41" s="71">
        <v>580750</v>
      </c>
      <c r="AB41" s="71">
        <v>1161500</v>
      </c>
      <c r="AC41" s="71">
        <v>580750</v>
      </c>
      <c r="AD41" s="71">
        <f t="shared" si="7"/>
        <v>1161500</v>
      </c>
      <c r="AE41" s="71">
        <v>580750</v>
      </c>
      <c r="AF41" s="71">
        <f t="shared" si="8"/>
        <v>1161500</v>
      </c>
    </row>
    <row r="42" spans="2:32" s="57" customFormat="1" ht="54" x14ac:dyDescent="0.2">
      <c r="B42" s="12">
        <f t="shared" si="4"/>
        <v>37</v>
      </c>
      <c r="C42" s="20" t="s">
        <v>22</v>
      </c>
      <c r="D42" s="20">
        <v>500001392</v>
      </c>
      <c r="E42" s="20" t="str">
        <f t="shared" si="0"/>
        <v>500001392</v>
      </c>
      <c r="F42" s="20" t="s">
        <v>11</v>
      </c>
      <c r="G42" s="20" t="s">
        <v>23</v>
      </c>
      <c r="H42" s="20" t="s">
        <v>410</v>
      </c>
      <c r="I42" s="20"/>
      <c r="J42" s="20" t="s">
        <v>71</v>
      </c>
      <c r="K42" s="20" t="s">
        <v>72</v>
      </c>
      <c r="L42" s="20"/>
      <c r="M42" s="20" t="s">
        <v>21</v>
      </c>
      <c r="N42" s="20">
        <v>1</v>
      </c>
      <c r="O42" s="20" t="s">
        <v>15</v>
      </c>
      <c r="P42" s="20"/>
      <c r="Q42" s="20" t="s">
        <v>395</v>
      </c>
      <c r="R42" s="20" t="s">
        <v>346</v>
      </c>
      <c r="S42" s="58" t="s">
        <v>830</v>
      </c>
      <c r="T42" s="59" t="s">
        <v>738</v>
      </c>
      <c r="U42" s="59" t="s">
        <v>718</v>
      </c>
      <c r="V42" s="78" t="s">
        <v>962</v>
      </c>
      <c r="W42" s="59" t="s">
        <v>828</v>
      </c>
      <c r="X42" s="59" t="s">
        <v>757</v>
      </c>
      <c r="Y42" s="20" t="s">
        <v>717</v>
      </c>
      <c r="Z42" s="71">
        <v>0</v>
      </c>
      <c r="AA42" s="71">
        <v>5800</v>
      </c>
      <c r="AB42" s="71">
        <v>5800</v>
      </c>
      <c r="AC42" s="71">
        <v>5800</v>
      </c>
      <c r="AD42" s="71">
        <f t="shared" si="7"/>
        <v>5800</v>
      </c>
      <c r="AE42" s="71">
        <v>5800</v>
      </c>
      <c r="AF42" s="71">
        <f t="shared" si="8"/>
        <v>5800</v>
      </c>
    </row>
    <row r="43" spans="2:32" s="57" customFormat="1" x14ac:dyDescent="0.2">
      <c r="B43" s="12">
        <f t="shared" si="4"/>
        <v>38</v>
      </c>
      <c r="C43" s="20" t="s">
        <v>22</v>
      </c>
      <c r="D43" s="20">
        <v>5001419</v>
      </c>
      <c r="E43" s="20" t="str">
        <f t="shared" si="0"/>
        <v>5001419</v>
      </c>
      <c r="F43" s="20" t="s">
        <v>11</v>
      </c>
      <c r="G43" s="20" t="s">
        <v>60</v>
      </c>
      <c r="H43" s="20" t="s">
        <v>422</v>
      </c>
      <c r="I43" s="20"/>
      <c r="J43" s="20" t="s">
        <v>73</v>
      </c>
      <c r="K43" s="20" t="s">
        <v>14</v>
      </c>
      <c r="L43" s="20"/>
      <c r="M43" s="20" t="s">
        <v>74</v>
      </c>
      <c r="N43" s="20">
        <v>3</v>
      </c>
      <c r="O43" s="20" t="s">
        <v>15</v>
      </c>
      <c r="P43" s="20"/>
      <c r="Q43" s="20" t="s">
        <v>395</v>
      </c>
      <c r="R43" s="20" t="s">
        <v>346</v>
      </c>
      <c r="S43" s="58" t="s">
        <v>788</v>
      </c>
      <c r="T43" s="59" t="s">
        <v>721</v>
      </c>
      <c r="U43" s="59" t="s">
        <v>719</v>
      </c>
      <c r="V43" s="78" t="s">
        <v>927</v>
      </c>
      <c r="W43" s="59" t="s">
        <v>828</v>
      </c>
      <c r="X43" s="59" t="s">
        <v>751</v>
      </c>
      <c r="Y43" s="20" t="s">
        <v>717</v>
      </c>
      <c r="Z43" s="71">
        <v>0</v>
      </c>
      <c r="AA43" s="71">
        <v>667</v>
      </c>
      <c r="AB43" s="71">
        <v>2001</v>
      </c>
      <c r="AC43" s="71">
        <v>600</v>
      </c>
      <c r="AD43" s="71">
        <f t="shared" si="7"/>
        <v>1800</v>
      </c>
      <c r="AE43" s="71">
        <v>600</v>
      </c>
      <c r="AF43" s="71">
        <f t="shared" si="8"/>
        <v>1800</v>
      </c>
    </row>
    <row r="44" spans="2:32" s="57" customFormat="1" x14ac:dyDescent="0.2">
      <c r="B44" s="12">
        <f t="shared" si="4"/>
        <v>39</v>
      </c>
      <c r="C44" s="20" t="s">
        <v>22</v>
      </c>
      <c r="D44" s="20">
        <v>5001479</v>
      </c>
      <c r="E44" s="20" t="str">
        <f t="shared" si="0"/>
        <v>5001479</v>
      </c>
      <c r="F44" s="20" t="s">
        <v>11</v>
      </c>
      <c r="G44" s="20" t="s">
        <v>29</v>
      </c>
      <c r="H44" s="20" t="s">
        <v>425</v>
      </c>
      <c r="I44" s="20"/>
      <c r="J44" s="20" t="s">
        <v>75</v>
      </c>
      <c r="K44" s="20" t="s">
        <v>76</v>
      </c>
      <c r="L44" s="20"/>
      <c r="M44" s="20" t="s">
        <v>55</v>
      </c>
      <c r="N44" s="20">
        <v>4</v>
      </c>
      <c r="O44" s="20" t="s">
        <v>38</v>
      </c>
      <c r="P44" s="20"/>
      <c r="Q44" s="20" t="s">
        <v>395</v>
      </c>
      <c r="R44" s="20" t="s">
        <v>346</v>
      </c>
      <c r="S44" s="58" t="s">
        <v>788</v>
      </c>
      <c r="T44" s="59" t="s">
        <v>721</v>
      </c>
      <c r="U44" s="59" t="s">
        <v>719</v>
      </c>
      <c r="V44" s="78" t="s">
        <v>833</v>
      </c>
      <c r="W44" s="59" t="s">
        <v>828</v>
      </c>
      <c r="X44" s="59" t="s">
        <v>751</v>
      </c>
      <c r="Y44" s="20" t="s">
        <v>717</v>
      </c>
      <c r="Z44" s="71">
        <v>9280</v>
      </c>
      <c r="AA44" s="71">
        <v>10350</v>
      </c>
      <c r="AB44" s="71">
        <v>41400</v>
      </c>
      <c r="AC44" s="71">
        <v>9200</v>
      </c>
      <c r="AD44" s="71">
        <f t="shared" si="7"/>
        <v>36800</v>
      </c>
      <c r="AE44" s="71">
        <v>9200</v>
      </c>
      <c r="AF44" s="71">
        <f t="shared" si="8"/>
        <v>36800</v>
      </c>
    </row>
    <row r="45" spans="2:32" s="57" customFormat="1" x14ac:dyDescent="0.2">
      <c r="B45" s="19" t="str">
        <f>"39-1"</f>
        <v>39-1</v>
      </c>
      <c r="C45" s="18">
        <v>2</v>
      </c>
      <c r="D45" s="18">
        <v>600001344</v>
      </c>
      <c r="E45" s="20" t="str">
        <f t="shared" si="0"/>
        <v>600001344</v>
      </c>
      <c r="F45" s="18" t="s">
        <v>11</v>
      </c>
      <c r="G45" s="18"/>
      <c r="H45" s="18" t="s">
        <v>506</v>
      </c>
      <c r="I45" s="18" t="s">
        <v>513</v>
      </c>
      <c r="J45" s="18" t="s">
        <v>507</v>
      </c>
      <c r="K45" s="18"/>
      <c r="L45" s="18"/>
      <c r="M45" s="18" t="s">
        <v>33</v>
      </c>
      <c r="N45" s="18"/>
      <c r="O45" s="18"/>
      <c r="P45" s="18"/>
      <c r="Q45" s="18"/>
      <c r="R45" s="18"/>
      <c r="S45" s="55"/>
      <c r="T45" s="56"/>
      <c r="U45" s="56"/>
      <c r="V45" s="76"/>
      <c r="W45" s="56"/>
      <c r="X45" s="56"/>
      <c r="Y45" s="18"/>
      <c r="Z45" s="73"/>
      <c r="AA45" s="73"/>
      <c r="AB45" s="73"/>
      <c r="AC45" s="73"/>
      <c r="AD45" s="73"/>
      <c r="AE45" s="73"/>
      <c r="AF45" s="73"/>
    </row>
    <row r="46" spans="2:32" s="57" customFormat="1" x14ac:dyDescent="0.2">
      <c r="B46" s="12">
        <f>B44+1</f>
        <v>40</v>
      </c>
      <c r="C46" s="20" t="s">
        <v>22</v>
      </c>
      <c r="D46" s="20">
        <v>6500749</v>
      </c>
      <c r="E46" s="20" t="str">
        <f t="shared" si="0"/>
        <v>6500749</v>
      </c>
      <c r="F46" s="20" t="s">
        <v>11</v>
      </c>
      <c r="G46" s="20" t="s">
        <v>23</v>
      </c>
      <c r="H46" s="20" t="s">
        <v>410</v>
      </c>
      <c r="I46" s="20"/>
      <c r="J46" s="20" t="s">
        <v>358</v>
      </c>
      <c r="K46" s="20" t="s">
        <v>77</v>
      </c>
      <c r="L46" s="20"/>
      <c r="M46" s="20" t="s">
        <v>74</v>
      </c>
      <c r="N46" s="20">
        <v>3</v>
      </c>
      <c r="O46" s="20" t="s">
        <v>15</v>
      </c>
      <c r="P46" s="20"/>
      <c r="Q46" s="20" t="s">
        <v>395</v>
      </c>
      <c r="R46" s="20" t="s">
        <v>346</v>
      </c>
      <c r="S46" s="58" t="s">
        <v>788</v>
      </c>
      <c r="T46" s="59" t="s">
        <v>721</v>
      </c>
      <c r="U46" s="59" t="s">
        <v>719</v>
      </c>
      <c r="V46" s="78" t="s">
        <v>834</v>
      </c>
      <c r="W46" s="59" t="s">
        <v>828</v>
      </c>
      <c r="X46" s="59" t="s">
        <v>751</v>
      </c>
      <c r="Y46" s="20" t="s">
        <v>717</v>
      </c>
      <c r="Z46" s="71">
        <v>0</v>
      </c>
      <c r="AA46" s="71">
        <v>106454.39999999999</v>
      </c>
      <c r="AB46" s="71">
        <v>319363.19999999995</v>
      </c>
      <c r="AC46" s="71">
        <v>104000</v>
      </c>
      <c r="AD46" s="71">
        <f>$AC46*$N46</f>
        <v>312000</v>
      </c>
      <c r="AE46" s="71">
        <v>104000</v>
      </c>
      <c r="AF46" s="71">
        <f>$AE46*$N46</f>
        <v>312000</v>
      </c>
    </row>
    <row r="47" spans="2:32" s="57" customFormat="1" x14ac:dyDescent="0.2">
      <c r="B47" s="15">
        <f t="shared" ref="B47:B72" si="9">B46+1</f>
        <v>41</v>
      </c>
      <c r="C47" s="11" t="s">
        <v>16</v>
      </c>
      <c r="D47" s="11">
        <v>110037820</v>
      </c>
      <c r="E47" s="20" t="str">
        <f t="shared" si="0"/>
        <v>110037820</v>
      </c>
      <c r="F47" s="11" t="s">
        <v>11</v>
      </c>
      <c r="G47" s="11" t="s">
        <v>78</v>
      </c>
      <c r="H47" s="11" t="s">
        <v>426</v>
      </c>
      <c r="I47" s="11"/>
      <c r="J47" s="11" t="s">
        <v>79</v>
      </c>
      <c r="K47" s="11" t="s">
        <v>14</v>
      </c>
      <c r="L47" s="11"/>
      <c r="M47" s="11" t="s">
        <v>21</v>
      </c>
      <c r="N47" s="11">
        <v>1</v>
      </c>
      <c r="O47" s="11" t="s">
        <v>38</v>
      </c>
      <c r="P47" s="11"/>
      <c r="Q47" s="11" t="s">
        <v>354</v>
      </c>
      <c r="R47" s="11" t="s">
        <v>354</v>
      </c>
      <c r="S47" s="47"/>
      <c r="T47" s="48"/>
      <c r="U47" s="48"/>
      <c r="V47" s="77"/>
      <c r="W47" s="48"/>
      <c r="X47" s="48"/>
      <c r="Y47" s="11"/>
      <c r="Z47" s="70"/>
      <c r="AA47" s="70"/>
      <c r="AB47" s="70"/>
      <c r="AC47" s="70"/>
      <c r="AD47" s="70"/>
      <c r="AE47" s="70"/>
      <c r="AF47" s="70"/>
    </row>
    <row r="48" spans="2:32" s="60" customFormat="1" ht="67.5" x14ac:dyDescent="0.2">
      <c r="B48" s="12">
        <f t="shared" si="9"/>
        <v>42</v>
      </c>
      <c r="C48" s="20" t="s">
        <v>22</v>
      </c>
      <c r="D48" s="20">
        <v>170068080</v>
      </c>
      <c r="E48" s="20" t="str">
        <f t="shared" si="0"/>
        <v>170068080</v>
      </c>
      <c r="F48" s="20" t="s">
        <v>11</v>
      </c>
      <c r="G48" s="20" t="s">
        <v>60</v>
      </c>
      <c r="H48" s="20" t="s">
        <v>422</v>
      </c>
      <c r="I48" s="20"/>
      <c r="J48" s="20" t="s">
        <v>80</v>
      </c>
      <c r="K48" s="20" t="s">
        <v>68</v>
      </c>
      <c r="L48" s="20"/>
      <c r="M48" s="20" t="s">
        <v>21</v>
      </c>
      <c r="N48" s="20">
        <v>1</v>
      </c>
      <c r="O48" s="20" t="s">
        <v>15</v>
      </c>
      <c r="P48" s="20"/>
      <c r="Q48" s="20" t="s">
        <v>395</v>
      </c>
      <c r="R48" s="20" t="s">
        <v>396</v>
      </c>
      <c r="S48" s="58" t="s">
        <v>723</v>
      </c>
      <c r="T48" s="59" t="s">
        <v>792</v>
      </c>
      <c r="U48" s="59" t="s">
        <v>731</v>
      </c>
      <c r="V48" s="78" t="s">
        <v>968</v>
      </c>
      <c r="W48" s="59" t="s">
        <v>734</v>
      </c>
      <c r="X48" s="59" t="s">
        <v>797</v>
      </c>
      <c r="Y48" s="20" t="s">
        <v>717</v>
      </c>
      <c r="Z48" s="71">
        <v>0</v>
      </c>
      <c r="AA48" s="71">
        <v>103500</v>
      </c>
      <c r="AB48" s="71">
        <v>103500</v>
      </c>
      <c r="AC48" s="71">
        <v>103500</v>
      </c>
      <c r="AD48" s="71">
        <f t="shared" ref="AD48:AD57" si="10">$AC48*$N48</f>
        <v>103500</v>
      </c>
      <c r="AE48" s="71">
        <v>103500</v>
      </c>
      <c r="AF48" s="71">
        <f t="shared" ref="AF48:AF57" si="11">$AE48*$N48</f>
        <v>103500</v>
      </c>
    </row>
    <row r="49" spans="2:32" s="60" customFormat="1" ht="54" x14ac:dyDescent="0.2">
      <c r="B49" s="12">
        <f t="shared" si="9"/>
        <v>43</v>
      </c>
      <c r="C49" s="20" t="s">
        <v>22</v>
      </c>
      <c r="D49" s="20">
        <v>170068090</v>
      </c>
      <c r="E49" s="20" t="str">
        <f t="shared" si="0"/>
        <v>170068090</v>
      </c>
      <c r="F49" s="20" t="s">
        <v>11</v>
      </c>
      <c r="G49" s="20" t="s">
        <v>60</v>
      </c>
      <c r="H49" s="20" t="s">
        <v>422</v>
      </c>
      <c r="I49" s="20"/>
      <c r="J49" s="20" t="s">
        <v>81</v>
      </c>
      <c r="K49" s="20" t="s">
        <v>70</v>
      </c>
      <c r="L49" s="20"/>
      <c r="M49" s="20" t="s">
        <v>21</v>
      </c>
      <c r="N49" s="20">
        <v>1</v>
      </c>
      <c r="O49" s="20" t="s">
        <v>15</v>
      </c>
      <c r="P49" s="20"/>
      <c r="Q49" s="20" t="s">
        <v>395</v>
      </c>
      <c r="R49" s="20" t="s">
        <v>396</v>
      </c>
      <c r="S49" s="58" t="s">
        <v>724</v>
      </c>
      <c r="T49" s="59" t="s">
        <v>792</v>
      </c>
      <c r="U49" s="59" t="s">
        <v>732</v>
      </c>
      <c r="V49" s="78" t="s">
        <v>969</v>
      </c>
      <c r="W49" s="59" t="s">
        <v>734</v>
      </c>
      <c r="X49" s="59" t="s">
        <v>797</v>
      </c>
      <c r="Y49" s="20" t="s">
        <v>717</v>
      </c>
      <c r="Z49" s="71">
        <v>0</v>
      </c>
      <c r="AA49" s="71">
        <v>70200</v>
      </c>
      <c r="AB49" s="71">
        <v>70200</v>
      </c>
      <c r="AC49" s="71">
        <v>70200</v>
      </c>
      <c r="AD49" s="71">
        <f t="shared" si="10"/>
        <v>70200</v>
      </c>
      <c r="AE49" s="71">
        <v>70200</v>
      </c>
      <c r="AF49" s="71">
        <f t="shared" si="11"/>
        <v>70200</v>
      </c>
    </row>
    <row r="50" spans="2:32" s="60" customFormat="1" ht="54" x14ac:dyDescent="0.2">
      <c r="B50" s="12">
        <f t="shared" si="9"/>
        <v>44</v>
      </c>
      <c r="C50" s="20" t="s">
        <v>22</v>
      </c>
      <c r="D50" s="20">
        <v>170068100</v>
      </c>
      <c r="E50" s="20" t="str">
        <f t="shared" si="0"/>
        <v>170068100</v>
      </c>
      <c r="F50" s="20" t="s">
        <v>11</v>
      </c>
      <c r="G50" s="20" t="s">
        <v>60</v>
      </c>
      <c r="H50" s="20" t="s">
        <v>422</v>
      </c>
      <c r="I50" s="20"/>
      <c r="J50" s="20" t="s">
        <v>82</v>
      </c>
      <c r="K50" s="20" t="s">
        <v>83</v>
      </c>
      <c r="L50" s="20"/>
      <c r="M50" s="20" t="s">
        <v>21</v>
      </c>
      <c r="N50" s="20">
        <v>1</v>
      </c>
      <c r="O50" s="20" t="s">
        <v>15</v>
      </c>
      <c r="P50" s="20"/>
      <c r="Q50" s="20" t="s">
        <v>395</v>
      </c>
      <c r="R50" s="20" t="s">
        <v>396</v>
      </c>
      <c r="S50" s="58" t="s">
        <v>725</v>
      </c>
      <c r="T50" s="59" t="s">
        <v>792</v>
      </c>
      <c r="U50" s="59" t="s">
        <v>731</v>
      </c>
      <c r="V50" s="78" t="s">
        <v>970</v>
      </c>
      <c r="W50" s="59" t="s">
        <v>734</v>
      </c>
      <c r="X50" s="59" t="s">
        <v>797</v>
      </c>
      <c r="Y50" s="20" t="s">
        <v>717</v>
      </c>
      <c r="Z50" s="71">
        <v>0</v>
      </c>
      <c r="AA50" s="71">
        <v>73800</v>
      </c>
      <c r="AB50" s="71">
        <v>73800</v>
      </c>
      <c r="AC50" s="71">
        <v>73800</v>
      </c>
      <c r="AD50" s="71">
        <f t="shared" si="10"/>
        <v>73800</v>
      </c>
      <c r="AE50" s="71">
        <v>73800</v>
      </c>
      <c r="AF50" s="71">
        <f t="shared" si="11"/>
        <v>73800</v>
      </c>
    </row>
    <row r="51" spans="2:32" s="57" customFormat="1" x14ac:dyDescent="0.2">
      <c r="B51" s="12">
        <f t="shared" si="9"/>
        <v>45</v>
      </c>
      <c r="C51" s="20" t="s">
        <v>22</v>
      </c>
      <c r="D51" s="20">
        <v>170151859</v>
      </c>
      <c r="E51" s="20" t="str">
        <f t="shared" si="0"/>
        <v>170151859</v>
      </c>
      <c r="F51" s="20" t="s">
        <v>11</v>
      </c>
      <c r="G51" s="20" t="s">
        <v>23</v>
      </c>
      <c r="H51" s="20" t="s">
        <v>410</v>
      </c>
      <c r="I51" s="20"/>
      <c r="J51" s="20" t="s">
        <v>359</v>
      </c>
      <c r="K51" s="20" t="s">
        <v>85</v>
      </c>
      <c r="L51" s="20"/>
      <c r="M51" s="20" t="s">
        <v>21</v>
      </c>
      <c r="N51" s="20">
        <v>1</v>
      </c>
      <c r="O51" s="20" t="s">
        <v>15</v>
      </c>
      <c r="P51" s="20"/>
      <c r="Q51" s="20" t="s">
        <v>393</v>
      </c>
      <c r="R51" s="20" t="s">
        <v>344</v>
      </c>
      <c r="S51" s="58" t="s">
        <v>726</v>
      </c>
      <c r="T51" s="59" t="s">
        <v>792</v>
      </c>
      <c r="U51" s="59" t="s">
        <v>733</v>
      </c>
      <c r="V51" s="78" t="s">
        <v>794</v>
      </c>
      <c r="W51" s="59" t="s">
        <v>734</v>
      </c>
      <c r="X51" s="59" t="s">
        <v>797</v>
      </c>
      <c r="Y51" s="20" t="s">
        <v>717</v>
      </c>
      <c r="Z51" s="71">
        <v>0</v>
      </c>
      <c r="AA51" s="71">
        <v>17100</v>
      </c>
      <c r="AB51" s="71">
        <v>17100</v>
      </c>
      <c r="AC51" s="71">
        <v>17100</v>
      </c>
      <c r="AD51" s="71">
        <f t="shared" si="10"/>
        <v>17100</v>
      </c>
      <c r="AE51" s="71">
        <v>17100</v>
      </c>
      <c r="AF51" s="71">
        <f t="shared" si="11"/>
        <v>17100</v>
      </c>
    </row>
    <row r="52" spans="2:32" s="57" customFormat="1" x14ac:dyDescent="0.2">
      <c r="B52" s="12">
        <f t="shared" si="9"/>
        <v>46</v>
      </c>
      <c r="C52" s="20" t="s">
        <v>22</v>
      </c>
      <c r="D52" s="20">
        <v>170216077</v>
      </c>
      <c r="E52" s="20" t="str">
        <f t="shared" si="0"/>
        <v>170216077</v>
      </c>
      <c r="F52" s="20" t="s">
        <v>11</v>
      </c>
      <c r="G52" s="20" t="s">
        <v>53</v>
      </c>
      <c r="H52" s="20" t="s">
        <v>419</v>
      </c>
      <c r="I52" s="20"/>
      <c r="J52" s="20" t="s">
        <v>86</v>
      </c>
      <c r="K52" s="20" t="s">
        <v>14</v>
      </c>
      <c r="L52" s="20"/>
      <c r="M52" s="20" t="s">
        <v>21</v>
      </c>
      <c r="N52" s="20">
        <v>1</v>
      </c>
      <c r="O52" s="20" t="s">
        <v>15</v>
      </c>
      <c r="P52" s="20"/>
      <c r="Q52" s="20" t="s">
        <v>393</v>
      </c>
      <c r="R52" s="20" t="s">
        <v>360</v>
      </c>
      <c r="S52" s="58" t="s">
        <v>727</v>
      </c>
      <c r="T52" s="59" t="s">
        <v>793</v>
      </c>
      <c r="U52" s="59" t="s">
        <v>712</v>
      </c>
      <c r="V52" s="78" t="s">
        <v>794</v>
      </c>
      <c r="W52" s="59" t="s">
        <v>727</v>
      </c>
      <c r="X52" s="59" t="s">
        <v>798</v>
      </c>
      <c r="Y52" s="20" t="s">
        <v>717</v>
      </c>
      <c r="Z52" s="71">
        <v>0</v>
      </c>
      <c r="AA52" s="71">
        <v>6104</v>
      </c>
      <c r="AB52" s="71">
        <v>6104</v>
      </c>
      <c r="AC52" s="71">
        <v>6104</v>
      </c>
      <c r="AD52" s="71">
        <f t="shared" si="10"/>
        <v>6104</v>
      </c>
      <c r="AE52" s="71">
        <v>6104</v>
      </c>
      <c r="AF52" s="71">
        <f t="shared" si="11"/>
        <v>6104</v>
      </c>
    </row>
    <row r="53" spans="2:32" s="57" customFormat="1" ht="202.5" x14ac:dyDescent="0.2">
      <c r="B53" s="12">
        <f t="shared" si="9"/>
        <v>47</v>
      </c>
      <c r="C53" s="20" t="s">
        <v>22</v>
      </c>
      <c r="D53" s="20">
        <v>190005028</v>
      </c>
      <c r="E53" s="20" t="str">
        <f t="shared" si="0"/>
        <v>190005028</v>
      </c>
      <c r="F53" s="20" t="s">
        <v>11</v>
      </c>
      <c r="G53" s="20" t="s">
        <v>23</v>
      </c>
      <c r="H53" s="20" t="s">
        <v>410</v>
      </c>
      <c r="I53" s="20"/>
      <c r="J53" s="20" t="s">
        <v>87</v>
      </c>
      <c r="K53" s="20" t="s">
        <v>88</v>
      </c>
      <c r="L53" s="20"/>
      <c r="M53" s="20" t="s">
        <v>21</v>
      </c>
      <c r="N53" s="20">
        <v>1</v>
      </c>
      <c r="O53" s="20" t="s">
        <v>15</v>
      </c>
      <c r="P53" s="20"/>
      <c r="Q53" s="20" t="s">
        <v>395</v>
      </c>
      <c r="R53" s="20" t="s">
        <v>346</v>
      </c>
      <c r="S53" s="58" t="s">
        <v>728</v>
      </c>
      <c r="T53" s="59" t="s">
        <v>738</v>
      </c>
      <c r="U53" s="59" t="s">
        <v>719</v>
      </c>
      <c r="V53" s="58" t="s">
        <v>967</v>
      </c>
      <c r="W53" s="59" t="s">
        <v>735</v>
      </c>
      <c r="X53" s="59" t="s">
        <v>799</v>
      </c>
      <c r="Y53" s="20" t="s">
        <v>717</v>
      </c>
      <c r="Z53" s="71">
        <v>0</v>
      </c>
      <c r="AA53" s="71">
        <v>2794100</v>
      </c>
      <c r="AB53" s="71">
        <v>2794100</v>
      </c>
      <c r="AC53" s="71">
        <v>2794100</v>
      </c>
      <c r="AD53" s="71">
        <f t="shared" si="10"/>
        <v>2794100</v>
      </c>
      <c r="AE53" s="71">
        <v>2794100</v>
      </c>
      <c r="AF53" s="71">
        <f t="shared" si="11"/>
        <v>2794100</v>
      </c>
    </row>
    <row r="54" spans="2:32" s="57" customFormat="1" ht="40.5" x14ac:dyDescent="0.2">
      <c r="B54" s="12">
        <f t="shared" si="9"/>
        <v>48</v>
      </c>
      <c r="C54" s="20" t="s">
        <v>22</v>
      </c>
      <c r="D54" s="20">
        <v>300000252</v>
      </c>
      <c r="E54" s="20" t="str">
        <f t="shared" si="0"/>
        <v>300000252</v>
      </c>
      <c r="F54" s="20" t="s">
        <v>11</v>
      </c>
      <c r="G54" s="20" t="s">
        <v>29</v>
      </c>
      <c r="H54" s="20" t="s">
        <v>412</v>
      </c>
      <c r="I54" s="20"/>
      <c r="J54" s="20" t="s">
        <v>89</v>
      </c>
      <c r="K54" s="20" t="s">
        <v>90</v>
      </c>
      <c r="L54" s="20"/>
      <c r="M54" s="20" t="s">
        <v>21</v>
      </c>
      <c r="N54" s="20">
        <v>1</v>
      </c>
      <c r="O54" s="20" t="s">
        <v>15</v>
      </c>
      <c r="P54" s="20"/>
      <c r="Q54" s="20" t="s">
        <v>395</v>
      </c>
      <c r="R54" s="20" t="s">
        <v>346</v>
      </c>
      <c r="S54" s="58" t="s">
        <v>729</v>
      </c>
      <c r="T54" s="59" t="s">
        <v>738</v>
      </c>
      <c r="U54" s="59" t="s">
        <v>718</v>
      </c>
      <c r="V54" s="78" t="s">
        <v>971</v>
      </c>
      <c r="W54" s="59" t="s">
        <v>736</v>
      </c>
      <c r="X54" s="59" t="s">
        <v>800</v>
      </c>
      <c r="Y54" s="20" t="s">
        <v>717</v>
      </c>
      <c r="Z54" s="71">
        <v>0</v>
      </c>
      <c r="AA54" s="71">
        <v>1220000</v>
      </c>
      <c r="AB54" s="71">
        <v>1220000</v>
      </c>
      <c r="AC54" s="71">
        <v>860000</v>
      </c>
      <c r="AD54" s="71">
        <f t="shared" si="10"/>
        <v>860000</v>
      </c>
      <c r="AE54" s="71">
        <v>860000</v>
      </c>
      <c r="AF54" s="71">
        <f t="shared" si="11"/>
        <v>860000</v>
      </c>
    </row>
    <row r="55" spans="2:32" s="57" customFormat="1" ht="54" x14ac:dyDescent="0.2">
      <c r="B55" s="12">
        <f t="shared" si="9"/>
        <v>49</v>
      </c>
      <c r="C55" s="20" t="s">
        <v>22</v>
      </c>
      <c r="D55" s="20">
        <v>3400167</v>
      </c>
      <c r="E55" s="20" t="str">
        <f t="shared" si="0"/>
        <v>3400167</v>
      </c>
      <c r="F55" s="20" t="s">
        <v>11</v>
      </c>
      <c r="G55" s="20" t="s">
        <v>91</v>
      </c>
      <c r="H55" s="20" t="s">
        <v>427</v>
      </c>
      <c r="I55" s="20"/>
      <c r="J55" s="20" t="s">
        <v>92</v>
      </c>
      <c r="K55" s="20" t="s">
        <v>93</v>
      </c>
      <c r="L55" s="20"/>
      <c r="M55" s="20" t="s">
        <v>18</v>
      </c>
      <c r="N55" s="20">
        <v>2</v>
      </c>
      <c r="O55" s="20" t="s">
        <v>15</v>
      </c>
      <c r="P55" s="20"/>
      <c r="Q55" s="20" t="s">
        <v>395</v>
      </c>
      <c r="R55" s="20" t="s">
        <v>346</v>
      </c>
      <c r="S55" s="58" t="s">
        <v>1038</v>
      </c>
      <c r="T55" s="59" t="s">
        <v>738</v>
      </c>
      <c r="U55" s="59" t="s">
        <v>712</v>
      </c>
      <c r="V55" s="78" t="s">
        <v>1039</v>
      </c>
      <c r="W55" s="59" t="s">
        <v>737</v>
      </c>
      <c r="X55" s="58" t="s">
        <v>1040</v>
      </c>
      <c r="Y55" s="20" t="s">
        <v>717</v>
      </c>
      <c r="Z55" s="71">
        <v>0</v>
      </c>
      <c r="AA55" s="71">
        <v>6783</v>
      </c>
      <c r="AB55" s="71">
        <v>13566</v>
      </c>
      <c r="AC55" s="71">
        <v>6783</v>
      </c>
      <c r="AD55" s="71">
        <f t="shared" si="10"/>
        <v>13566</v>
      </c>
      <c r="AE55" s="71">
        <v>6783</v>
      </c>
      <c r="AF55" s="71">
        <f t="shared" si="11"/>
        <v>13566</v>
      </c>
    </row>
    <row r="56" spans="2:32" s="57" customFormat="1" ht="27" x14ac:dyDescent="0.2">
      <c r="B56" s="12">
        <f t="shared" si="9"/>
        <v>50</v>
      </c>
      <c r="C56" s="20" t="s">
        <v>22</v>
      </c>
      <c r="D56" s="20">
        <v>4300505</v>
      </c>
      <c r="E56" s="20" t="str">
        <f t="shared" si="0"/>
        <v>4300505</v>
      </c>
      <c r="F56" s="20" t="s">
        <v>11</v>
      </c>
      <c r="G56" s="20" t="s">
        <v>94</v>
      </c>
      <c r="H56" s="20" t="s">
        <v>428</v>
      </c>
      <c r="I56" s="20"/>
      <c r="J56" s="20" t="s">
        <v>95</v>
      </c>
      <c r="K56" s="20" t="s">
        <v>96</v>
      </c>
      <c r="L56" s="20"/>
      <c r="M56" s="20" t="s">
        <v>18</v>
      </c>
      <c r="N56" s="20">
        <v>2</v>
      </c>
      <c r="O56" s="20" t="s">
        <v>38</v>
      </c>
      <c r="P56" s="20"/>
      <c r="Q56" s="20" t="s">
        <v>395</v>
      </c>
      <c r="R56" s="20" t="s">
        <v>346</v>
      </c>
      <c r="S56" s="58" t="s">
        <v>730</v>
      </c>
      <c r="T56" s="59" t="s">
        <v>738</v>
      </c>
      <c r="U56" s="59" t="s">
        <v>718</v>
      </c>
      <c r="V56" s="78" t="s">
        <v>795</v>
      </c>
      <c r="W56" s="59" t="s">
        <v>737</v>
      </c>
      <c r="X56" s="58" t="s">
        <v>1040</v>
      </c>
      <c r="Y56" s="20" t="s">
        <v>717</v>
      </c>
      <c r="Z56" s="71">
        <v>0</v>
      </c>
      <c r="AA56" s="71">
        <v>1500</v>
      </c>
      <c r="AB56" s="71">
        <v>3000</v>
      </c>
      <c r="AC56" s="71">
        <v>1500</v>
      </c>
      <c r="AD56" s="71">
        <f t="shared" si="10"/>
        <v>3000</v>
      </c>
      <c r="AE56" s="71">
        <v>1500</v>
      </c>
      <c r="AF56" s="71">
        <f t="shared" si="11"/>
        <v>3000</v>
      </c>
    </row>
    <row r="57" spans="2:32" s="57" customFormat="1" ht="27" x14ac:dyDescent="0.2">
      <c r="B57" s="12">
        <f t="shared" si="9"/>
        <v>51</v>
      </c>
      <c r="C57" s="20" t="s">
        <v>22</v>
      </c>
      <c r="D57" s="20">
        <v>4300755</v>
      </c>
      <c r="E57" s="20" t="str">
        <f t="shared" si="0"/>
        <v>4300755</v>
      </c>
      <c r="F57" s="20" t="s">
        <v>11</v>
      </c>
      <c r="G57" s="20" t="s">
        <v>39</v>
      </c>
      <c r="H57" s="20" t="s">
        <v>429</v>
      </c>
      <c r="I57" s="20"/>
      <c r="J57" s="20" t="s">
        <v>97</v>
      </c>
      <c r="K57" s="20" t="s">
        <v>72</v>
      </c>
      <c r="L57" s="20"/>
      <c r="M57" s="20" t="s">
        <v>18</v>
      </c>
      <c r="N57" s="20">
        <v>2</v>
      </c>
      <c r="O57" s="20" t="s">
        <v>38</v>
      </c>
      <c r="P57" s="20"/>
      <c r="Q57" s="20" t="s">
        <v>395</v>
      </c>
      <c r="R57" s="20" t="s">
        <v>346</v>
      </c>
      <c r="S57" s="58" t="s">
        <v>730</v>
      </c>
      <c r="T57" s="59" t="s">
        <v>738</v>
      </c>
      <c r="U57" s="59" t="s">
        <v>718</v>
      </c>
      <c r="V57" s="78" t="s">
        <v>796</v>
      </c>
      <c r="W57" s="59" t="s">
        <v>737</v>
      </c>
      <c r="X57" s="58" t="s">
        <v>1040</v>
      </c>
      <c r="Y57" s="20" t="s">
        <v>717</v>
      </c>
      <c r="Z57" s="71">
        <v>0</v>
      </c>
      <c r="AA57" s="71">
        <v>1800</v>
      </c>
      <c r="AB57" s="71">
        <v>3600</v>
      </c>
      <c r="AC57" s="71">
        <v>1800</v>
      </c>
      <c r="AD57" s="71">
        <f t="shared" si="10"/>
        <v>3600</v>
      </c>
      <c r="AE57" s="71">
        <v>1800</v>
      </c>
      <c r="AF57" s="71">
        <f t="shared" si="11"/>
        <v>3600</v>
      </c>
    </row>
    <row r="58" spans="2:32" s="57" customFormat="1" x14ac:dyDescent="0.2">
      <c r="B58" s="15">
        <f t="shared" si="9"/>
        <v>52</v>
      </c>
      <c r="C58" s="11" t="s">
        <v>16</v>
      </c>
      <c r="D58" s="11">
        <v>110144580</v>
      </c>
      <c r="E58" s="20" t="str">
        <f t="shared" si="0"/>
        <v>110144580</v>
      </c>
      <c r="F58" s="11" t="s">
        <v>11</v>
      </c>
      <c r="G58" s="11" t="s">
        <v>98</v>
      </c>
      <c r="H58" s="11" t="s">
        <v>430</v>
      </c>
      <c r="I58" s="11"/>
      <c r="J58" s="11" t="s">
        <v>99</v>
      </c>
      <c r="K58" s="11" t="s">
        <v>14</v>
      </c>
      <c r="L58" s="11"/>
      <c r="M58" s="11" t="s">
        <v>21</v>
      </c>
      <c r="N58" s="11">
        <v>1</v>
      </c>
      <c r="O58" s="11" t="s">
        <v>38</v>
      </c>
      <c r="P58" s="11"/>
      <c r="Q58" s="11" t="s">
        <v>354</v>
      </c>
      <c r="R58" s="11" t="s">
        <v>354</v>
      </c>
      <c r="S58" s="47"/>
      <c r="T58" s="48"/>
      <c r="U58" s="48"/>
      <c r="V58" s="77"/>
      <c r="W58" s="48"/>
      <c r="X58" s="48"/>
      <c r="Y58" s="11"/>
      <c r="Z58" s="70"/>
      <c r="AA58" s="70"/>
      <c r="AB58" s="70"/>
      <c r="AC58" s="70"/>
      <c r="AD58" s="70"/>
      <c r="AE58" s="70"/>
      <c r="AF58" s="70"/>
    </row>
    <row r="59" spans="2:32" s="60" customFormat="1" ht="135" x14ac:dyDescent="0.2">
      <c r="B59" s="12">
        <f t="shared" si="9"/>
        <v>53</v>
      </c>
      <c r="C59" s="20" t="s">
        <v>22</v>
      </c>
      <c r="D59" s="20">
        <v>170168745</v>
      </c>
      <c r="E59" s="20" t="str">
        <f t="shared" si="0"/>
        <v>170168745</v>
      </c>
      <c r="F59" s="20" t="s">
        <v>11</v>
      </c>
      <c r="G59" s="20" t="s">
        <v>100</v>
      </c>
      <c r="H59" s="20" t="s">
        <v>431</v>
      </c>
      <c r="I59" s="20"/>
      <c r="J59" s="20" t="s">
        <v>101</v>
      </c>
      <c r="K59" s="20" t="s">
        <v>14</v>
      </c>
      <c r="L59" s="20"/>
      <c r="M59" s="20" t="s">
        <v>21</v>
      </c>
      <c r="N59" s="20">
        <v>1</v>
      </c>
      <c r="O59" s="20" t="s">
        <v>15</v>
      </c>
      <c r="P59" s="20"/>
      <c r="Q59" s="20" t="s">
        <v>395</v>
      </c>
      <c r="R59" s="20" t="s">
        <v>396</v>
      </c>
      <c r="S59" s="58" t="s">
        <v>744</v>
      </c>
      <c r="T59" s="59" t="s">
        <v>792</v>
      </c>
      <c r="U59" s="59" t="s">
        <v>733</v>
      </c>
      <c r="V59" s="78" t="s">
        <v>972</v>
      </c>
      <c r="W59" s="59" t="s">
        <v>734</v>
      </c>
      <c r="X59" s="59" t="s">
        <v>797</v>
      </c>
      <c r="Y59" s="20" t="s">
        <v>717</v>
      </c>
      <c r="Z59" s="71">
        <v>218312</v>
      </c>
      <c r="AA59" s="71">
        <v>216000</v>
      </c>
      <c r="AB59" s="71">
        <v>216000</v>
      </c>
      <c r="AC59" s="71">
        <v>216000</v>
      </c>
      <c r="AD59" s="71">
        <f t="shared" ref="AD59:AD60" si="12">$AC59*$N59</f>
        <v>216000</v>
      </c>
      <c r="AE59" s="71">
        <v>216000</v>
      </c>
      <c r="AF59" s="71">
        <f t="shared" ref="AF59:AF60" si="13">$AE59*$N59</f>
        <v>216000</v>
      </c>
    </row>
    <row r="60" spans="2:32" s="60" customFormat="1" ht="81" x14ac:dyDescent="0.2">
      <c r="B60" s="12">
        <f t="shared" si="9"/>
        <v>54</v>
      </c>
      <c r="C60" s="20" t="s">
        <v>22</v>
      </c>
      <c r="D60" s="20">
        <v>170168754</v>
      </c>
      <c r="E60" s="20" t="str">
        <f t="shared" si="0"/>
        <v>170168754</v>
      </c>
      <c r="F60" s="20" t="s">
        <v>11</v>
      </c>
      <c r="G60" s="20" t="s">
        <v>60</v>
      </c>
      <c r="H60" s="20" t="s">
        <v>422</v>
      </c>
      <c r="I60" s="20"/>
      <c r="J60" s="20" t="s">
        <v>102</v>
      </c>
      <c r="K60" s="20" t="s">
        <v>68</v>
      </c>
      <c r="L60" s="20"/>
      <c r="M60" s="20" t="s">
        <v>21</v>
      </c>
      <c r="N60" s="20">
        <v>1</v>
      </c>
      <c r="O60" s="20" t="s">
        <v>15</v>
      </c>
      <c r="P60" s="20"/>
      <c r="Q60" s="20" t="s">
        <v>395</v>
      </c>
      <c r="R60" s="20" t="s">
        <v>396</v>
      </c>
      <c r="S60" s="58" t="s">
        <v>745</v>
      </c>
      <c r="T60" s="59" t="s">
        <v>792</v>
      </c>
      <c r="U60" s="59" t="s">
        <v>733</v>
      </c>
      <c r="V60" s="78" t="s">
        <v>973</v>
      </c>
      <c r="W60" s="59" t="s">
        <v>734</v>
      </c>
      <c r="X60" s="59" t="s">
        <v>797</v>
      </c>
      <c r="Y60" s="20" t="s">
        <v>717</v>
      </c>
      <c r="Z60" s="71">
        <v>0</v>
      </c>
      <c r="AA60" s="71">
        <v>79200</v>
      </c>
      <c r="AB60" s="71">
        <v>79200</v>
      </c>
      <c r="AC60" s="71">
        <v>79200</v>
      </c>
      <c r="AD60" s="71">
        <f t="shared" si="12"/>
        <v>79200</v>
      </c>
      <c r="AE60" s="71">
        <v>79200</v>
      </c>
      <c r="AF60" s="71">
        <f t="shared" si="13"/>
        <v>79200</v>
      </c>
    </row>
    <row r="61" spans="2:32" s="57" customFormat="1" x14ac:dyDescent="0.2">
      <c r="B61" s="12">
        <f t="shared" si="9"/>
        <v>55</v>
      </c>
      <c r="C61" s="20" t="s">
        <v>22</v>
      </c>
      <c r="D61" s="20">
        <v>320000363</v>
      </c>
      <c r="E61" s="20" t="str">
        <f t="shared" si="0"/>
        <v>320000363</v>
      </c>
      <c r="F61" s="20" t="s">
        <v>11</v>
      </c>
      <c r="G61" s="20" t="s">
        <v>29</v>
      </c>
      <c r="H61" s="20" t="s">
        <v>412</v>
      </c>
      <c r="I61" s="20"/>
      <c r="J61" s="20" t="s">
        <v>103</v>
      </c>
      <c r="K61" s="20" t="s">
        <v>70</v>
      </c>
      <c r="L61" s="20"/>
      <c r="M61" s="20" t="s">
        <v>21</v>
      </c>
      <c r="N61" s="20">
        <v>1</v>
      </c>
      <c r="O61" s="20" t="s">
        <v>15</v>
      </c>
      <c r="P61" s="20"/>
      <c r="Q61" s="20" t="s">
        <v>395</v>
      </c>
      <c r="R61" s="20" t="s">
        <v>346</v>
      </c>
      <c r="S61" s="58" t="s">
        <v>746</v>
      </c>
      <c r="T61" s="59" t="s">
        <v>1238</v>
      </c>
      <c r="U61" s="59" t="s">
        <v>801</v>
      </c>
      <c r="V61" s="78" t="s">
        <v>820</v>
      </c>
      <c r="W61" s="59" t="s">
        <v>805</v>
      </c>
      <c r="X61" s="59" t="s">
        <v>839</v>
      </c>
      <c r="Y61" s="20" t="s">
        <v>843</v>
      </c>
      <c r="Z61" s="71">
        <v>0</v>
      </c>
      <c r="AA61" s="71">
        <v>290000</v>
      </c>
      <c r="AB61" s="71">
        <v>290000</v>
      </c>
      <c r="AC61" s="113">
        <v>89.59</v>
      </c>
      <c r="AD61" s="113">
        <f t="shared" ref="AD61:AD62" si="14">($Y$1*$AC61)*$N61</f>
        <v>121484.04000000001</v>
      </c>
      <c r="AE61" s="113">
        <v>89.59</v>
      </c>
      <c r="AF61" s="113">
        <f t="shared" ref="AF61:AF62" si="15">($Y$1*$AC61)*$N61</f>
        <v>121484.04000000001</v>
      </c>
    </row>
    <row r="62" spans="2:32" s="57" customFormat="1" x14ac:dyDescent="0.2">
      <c r="B62" s="12">
        <f t="shared" si="9"/>
        <v>56</v>
      </c>
      <c r="C62" s="20" t="s">
        <v>22</v>
      </c>
      <c r="D62" s="20">
        <v>340002212</v>
      </c>
      <c r="E62" s="20" t="str">
        <f t="shared" si="0"/>
        <v>340002212</v>
      </c>
      <c r="F62" s="20" t="s">
        <v>11</v>
      </c>
      <c r="G62" s="20" t="s">
        <v>23</v>
      </c>
      <c r="H62" s="20" t="s">
        <v>410</v>
      </c>
      <c r="I62" s="20"/>
      <c r="J62" s="20" t="s">
        <v>104</v>
      </c>
      <c r="K62" s="20" t="s">
        <v>83</v>
      </c>
      <c r="L62" s="20"/>
      <c r="M62" s="20" t="s">
        <v>18</v>
      </c>
      <c r="N62" s="20">
        <v>2</v>
      </c>
      <c r="O62" s="20" t="s">
        <v>15</v>
      </c>
      <c r="P62" s="20"/>
      <c r="Q62" s="20" t="s">
        <v>395</v>
      </c>
      <c r="R62" s="20" t="s">
        <v>346</v>
      </c>
      <c r="S62" s="58" t="s">
        <v>747</v>
      </c>
      <c r="T62" s="59" t="s">
        <v>1239</v>
      </c>
      <c r="U62" s="59" t="s">
        <v>720</v>
      </c>
      <c r="V62" s="78" t="s">
        <v>821</v>
      </c>
      <c r="W62" s="59" t="s">
        <v>805</v>
      </c>
      <c r="X62" s="59" t="s">
        <v>840</v>
      </c>
      <c r="Y62" s="20" t="s">
        <v>843</v>
      </c>
      <c r="Z62" s="71">
        <v>0</v>
      </c>
      <c r="AA62" s="71">
        <v>163000</v>
      </c>
      <c r="AB62" s="71">
        <v>326000</v>
      </c>
      <c r="AC62" s="113">
        <v>62.91</v>
      </c>
      <c r="AD62" s="113">
        <f t="shared" si="14"/>
        <v>170611.91999999998</v>
      </c>
      <c r="AE62" s="113">
        <v>62.91</v>
      </c>
      <c r="AF62" s="113">
        <f t="shared" si="15"/>
        <v>170611.91999999998</v>
      </c>
    </row>
    <row r="63" spans="2:32" s="57" customFormat="1" ht="27" x14ac:dyDescent="0.2">
      <c r="B63" s="12">
        <f t="shared" si="9"/>
        <v>57</v>
      </c>
      <c r="C63" s="20" t="s">
        <v>22</v>
      </c>
      <c r="D63" s="20">
        <v>3402049</v>
      </c>
      <c r="E63" s="20" t="str">
        <f t="shared" si="0"/>
        <v>3402049</v>
      </c>
      <c r="F63" s="20" t="s">
        <v>11</v>
      </c>
      <c r="G63" s="20" t="s">
        <v>60</v>
      </c>
      <c r="H63" s="20" t="e">
        <v>#N/A</v>
      </c>
      <c r="I63" s="20"/>
      <c r="J63" s="20" t="s">
        <v>105</v>
      </c>
      <c r="K63" s="20" t="s">
        <v>106</v>
      </c>
      <c r="L63" s="20"/>
      <c r="M63" s="20" t="s">
        <v>21</v>
      </c>
      <c r="N63" s="20">
        <v>1</v>
      </c>
      <c r="O63" s="20" t="s">
        <v>15</v>
      </c>
      <c r="P63" s="20"/>
      <c r="Q63" s="20" t="s">
        <v>395</v>
      </c>
      <c r="R63" s="20" t="s">
        <v>346</v>
      </c>
      <c r="S63" s="58" t="s">
        <v>748</v>
      </c>
      <c r="T63" s="59" t="s">
        <v>721</v>
      </c>
      <c r="U63" s="59" t="s">
        <v>720</v>
      </c>
      <c r="V63" s="78" t="s">
        <v>822</v>
      </c>
      <c r="W63" s="59" t="s">
        <v>806</v>
      </c>
      <c r="X63" s="59" t="s">
        <v>841</v>
      </c>
      <c r="Y63" s="20" t="s">
        <v>717</v>
      </c>
      <c r="Z63" s="71">
        <v>0</v>
      </c>
      <c r="AA63" s="71">
        <v>68969</v>
      </c>
      <c r="AB63" s="71">
        <f>AA63*N63</f>
        <v>68969</v>
      </c>
      <c r="AC63" s="71">
        <v>90219</v>
      </c>
      <c r="AD63" s="71">
        <f t="shared" ref="AD63:AD65" si="16">$AC63*$N63</f>
        <v>90219</v>
      </c>
      <c r="AE63" s="71">
        <v>74000</v>
      </c>
      <c r="AF63" s="71">
        <f t="shared" ref="AF63:AF65" si="17">$AE63*$N63</f>
        <v>74000</v>
      </c>
    </row>
    <row r="64" spans="2:32" s="57" customFormat="1" ht="54" x14ac:dyDescent="0.2">
      <c r="B64" s="12">
        <f t="shared" si="9"/>
        <v>58</v>
      </c>
      <c r="C64" s="20" t="s">
        <v>22</v>
      </c>
      <c r="D64" s="20">
        <v>3402684</v>
      </c>
      <c r="E64" s="20" t="str">
        <f t="shared" si="0"/>
        <v>3402684</v>
      </c>
      <c r="F64" s="20" t="s">
        <v>11</v>
      </c>
      <c r="G64" s="20" t="s">
        <v>23</v>
      </c>
      <c r="H64" s="20" t="s">
        <v>410</v>
      </c>
      <c r="I64" s="20"/>
      <c r="J64" s="20" t="s">
        <v>107</v>
      </c>
      <c r="K64" s="20" t="s">
        <v>76</v>
      </c>
      <c r="L64" s="20"/>
      <c r="M64" s="20" t="s">
        <v>21</v>
      </c>
      <c r="N64" s="20">
        <v>1</v>
      </c>
      <c r="O64" s="20" t="s">
        <v>15</v>
      </c>
      <c r="P64" s="20"/>
      <c r="Q64" s="20" t="s">
        <v>395</v>
      </c>
      <c r="R64" s="20" t="s">
        <v>346</v>
      </c>
      <c r="S64" s="58" t="s">
        <v>1041</v>
      </c>
      <c r="T64" s="59" t="s">
        <v>738</v>
      </c>
      <c r="U64" s="59" t="s">
        <v>718</v>
      </c>
      <c r="V64" s="78" t="s">
        <v>928</v>
      </c>
      <c r="W64" s="59" t="s">
        <v>737</v>
      </c>
      <c r="X64" s="58" t="s">
        <v>1040</v>
      </c>
      <c r="Y64" s="20" t="s">
        <v>717</v>
      </c>
      <c r="Z64" s="71">
        <v>0</v>
      </c>
      <c r="AA64" s="71">
        <v>23400</v>
      </c>
      <c r="AB64" s="71">
        <v>23400</v>
      </c>
      <c r="AC64" s="71">
        <v>23400</v>
      </c>
      <c r="AD64" s="71">
        <f t="shared" si="16"/>
        <v>23400</v>
      </c>
      <c r="AE64" s="71">
        <v>23400</v>
      </c>
      <c r="AF64" s="71">
        <f t="shared" si="17"/>
        <v>23400</v>
      </c>
    </row>
    <row r="65" spans="2:32" s="60" customFormat="1" ht="27" x14ac:dyDescent="0.2">
      <c r="B65" s="12">
        <f t="shared" si="9"/>
        <v>59</v>
      </c>
      <c r="C65" s="20" t="s">
        <v>22</v>
      </c>
      <c r="D65" s="20">
        <v>350001184</v>
      </c>
      <c r="E65" s="20" t="str">
        <f t="shared" si="0"/>
        <v>350001184</v>
      </c>
      <c r="F65" s="20" t="s">
        <v>11</v>
      </c>
      <c r="G65" s="20" t="s">
        <v>60</v>
      </c>
      <c r="H65" s="20" t="s">
        <v>422</v>
      </c>
      <c r="I65" s="20"/>
      <c r="J65" s="20" t="s">
        <v>108</v>
      </c>
      <c r="K65" s="20" t="s">
        <v>77</v>
      </c>
      <c r="L65" s="20"/>
      <c r="M65" s="20" t="s">
        <v>18</v>
      </c>
      <c r="N65" s="20">
        <v>2</v>
      </c>
      <c r="O65" s="20" t="s">
        <v>15</v>
      </c>
      <c r="P65" s="20"/>
      <c r="Q65" s="20" t="s">
        <v>395</v>
      </c>
      <c r="R65" s="20" t="s">
        <v>346</v>
      </c>
      <c r="S65" s="58" t="s">
        <v>749</v>
      </c>
      <c r="T65" s="59" t="s">
        <v>836</v>
      </c>
      <c r="U65" s="59" t="s">
        <v>720</v>
      </c>
      <c r="V65" s="78" t="s">
        <v>823</v>
      </c>
      <c r="W65" s="59" t="s">
        <v>804</v>
      </c>
      <c r="X65" s="59" t="s">
        <v>751</v>
      </c>
      <c r="Y65" s="20" t="s">
        <v>717</v>
      </c>
      <c r="Z65" s="71">
        <v>0</v>
      </c>
      <c r="AA65" s="71">
        <v>2470</v>
      </c>
      <c r="AB65" s="71">
        <v>4940</v>
      </c>
      <c r="AC65" s="71">
        <v>2470</v>
      </c>
      <c r="AD65" s="71">
        <f t="shared" si="16"/>
        <v>4940</v>
      </c>
      <c r="AE65" s="71">
        <v>2470</v>
      </c>
      <c r="AF65" s="71">
        <f t="shared" si="17"/>
        <v>4940</v>
      </c>
    </row>
    <row r="66" spans="2:32" s="57" customFormat="1" ht="27" x14ac:dyDescent="0.2">
      <c r="B66" s="12">
        <f t="shared" si="9"/>
        <v>60</v>
      </c>
      <c r="C66" s="20" t="s">
        <v>22</v>
      </c>
      <c r="D66" s="20">
        <v>430000724</v>
      </c>
      <c r="E66" s="20" t="str">
        <f t="shared" si="0"/>
        <v>430000724</v>
      </c>
      <c r="F66" s="20" t="s">
        <v>11</v>
      </c>
      <c r="G66" s="20" t="s">
        <v>109</v>
      </c>
      <c r="H66" s="20" t="s">
        <v>432</v>
      </c>
      <c r="I66" s="20"/>
      <c r="J66" s="20" t="s">
        <v>110</v>
      </c>
      <c r="K66" s="20" t="s">
        <v>14</v>
      </c>
      <c r="L66" s="20"/>
      <c r="M66" s="20" t="s">
        <v>18</v>
      </c>
      <c r="N66" s="20">
        <v>2</v>
      </c>
      <c r="O66" s="20" t="s">
        <v>15</v>
      </c>
      <c r="P66" s="20"/>
      <c r="Q66" s="20" t="s">
        <v>395</v>
      </c>
      <c r="R66" s="20" t="s">
        <v>346</v>
      </c>
      <c r="S66" s="58" t="s">
        <v>750</v>
      </c>
      <c r="T66" s="59" t="s">
        <v>1238</v>
      </c>
      <c r="U66" s="59" t="s">
        <v>720</v>
      </c>
      <c r="V66" s="78" t="s">
        <v>974</v>
      </c>
      <c r="W66" s="59" t="s">
        <v>805</v>
      </c>
      <c r="X66" s="59" t="s">
        <v>840</v>
      </c>
      <c r="Y66" s="20" t="s">
        <v>843</v>
      </c>
      <c r="Z66" s="71">
        <v>0</v>
      </c>
      <c r="AA66" s="71">
        <v>75000</v>
      </c>
      <c r="AB66" s="71">
        <v>150000</v>
      </c>
      <c r="AC66" s="113">
        <v>23.08</v>
      </c>
      <c r="AD66" s="113">
        <f t="shared" ref="AD66" si="18">($Y$1*$AC66)*$N66</f>
        <v>62592.959999999992</v>
      </c>
      <c r="AE66" s="113">
        <v>23.08</v>
      </c>
      <c r="AF66" s="113">
        <f t="shared" ref="AF66" si="19">($Y$1*$AC66)*$N66</f>
        <v>62592.959999999992</v>
      </c>
    </row>
    <row r="67" spans="2:32" s="57" customFormat="1" x14ac:dyDescent="0.2">
      <c r="B67" s="12">
        <f t="shared" si="9"/>
        <v>61</v>
      </c>
      <c r="C67" s="20" t="s">
        <v>22</v>
      </c>
      <c r="D67" s="20" t="s">
        <v>367</v>
      </c>
      <c r="E67" s="20" t="str">
        <f t="shared" ref="E67:E122" si="20">TRIM(D67)</f>
        <v>44S0093</v>
      </c>
      <c r="F67" s="20" t="s">
        <v>11</v>
      </c>
      <c r="G67" s="20" t="s">
        <v>111</v>
      </c>
      <c r="H67" s="20" t="s">
        <v>433</v>
      </c>
      <c r="I67" s="20"/>
      <c r="J67" s="20" t="s">
        <v>382</v>
      </c>
      <c r="K67" s="20" t="s">
        <v>14</v>
      </c>
      <c r="L67" s="20"/>
      <c r="M67" s="20" t="s">
        <v>55</v>
      </c>
      <c r="N67" s="20">
        <v>4</v>
      </c>
      <c r="O67" s="20" t="s">
        <v>15</v>
      </c>
      <c r="P67" s="20"/>
      <c r="Q67" s="20" t="s">
        <v>395</v>
      </c>
      <c r="R67" s="20" t="s">
        <v>346</v>
      </c>
      <c r="S67" s="58" t="s">
        <v>747</v>
      </c>
      <c r="T67" s="59" t="s">
        <v>1238</v>
      </c>
      <c r="U67" s="59" t="s">
        <v>718</v>
      </c>
      <c r="V67" s="78" t="s">
        <v>1046</v>
      </c>
      <c r="W67" s="59" t="s">
        <v>805</v>
      </c>
      <c r="X67" s="59" t="s">
        <v>840</v>
      </c>
      <c r="Y67" s="20" t="s">
        <v>843</v>
      </c>
      <c r="Z67" s="71">
        <v>0</v>
      </c>
      <c r="AA67" s="71">
        <v>400</v>
      </c>
      <c r="AB67" s="71">
        <v>400</v>
      </c>
      <c r="AC67" s="113">
        <v>9.4700000000000006</v>
      </c>
      <c r="AD67" s="113">
        <f>$AC67*$Y$1</f>
        <v>12841.320000000002</v>
      </c>
      <c r="AE67" s="113">
        <v>9.4700000000000006</v>
      </c>
      <c r="AF67" s="113">
        <f>$AC67*$Y$1</f>
        <v>12841.320000000002</v>
      </c>
    </row>
    <row r="68" spans="2:32" s="57" customFormat="1" x14ac:dyDescent="0.2">
      <c r="B68" s="12">
        <f t="shared" si="9"/>
        <v>62</v>
      </c>
      <c r="C68" s="20" t="s">
        <v>22</v>
      </c>
      <c r="D68" s="20">
        <v>9200106</v>
      </c>
      <c r="E68" s="20" t="str">
        <f t="shared" si="20"/>
        <v>9200106</v>
      </c>
      <c r="F68" s="20" t="s">
        <v>11</v>
      </c>
      <c r="G68" s="20" t="s">
        <v>113</v>
      </c>
      <c r="H68" s="20" t="s">
        <v>434</v>
      </c>
      <c r="I68" s="20"/>
      <c r="J68" s="20" t="s">
        <v>361</v>
      </c>
      <c r="K68" s="20" t="s">
        <v>90</v>
      </c>
      <c r="L68" s="20"/>
      <c r="M68" s="20" t="s">
        <v>25</v>
      </c>
      <c r="N68" s="20">
        <v>0</v>
      </c>
      <c r="O68" s="20" t="s">
        <v>15</v>
      </c>
      <c r="P68" s="20"/>
      <c r="Q68" s="20" t="s">
        <v>395</v>
      </c>
      <c r="R68" s="20" t="s">
        <v>346</v>
      </c>
      <c r="S68" s="58" t="s">
        <v>728</v>
      </c>
      <c r="T68" s="59" t="s">
        <v>738</v>
      </c>
      <c r="U68" s="59" t="s">
        <v>719</v>
      </c>
      <c r="V68" s="78" t="s">
        <v>824</v>
      </c>
      <c r="W68" s="59" t="s">
        <v>735</v>
      </c>
      <c r="X68" s="59" t="s">
        <v>842</v>
      </c>
      <c r="Y68" s="20" t="s">
        <v>717</v>
      </c>
      <c r="Z68" s="71">
        <v>0</v>
      </c>
      <c r="AA68" s="71">
        <v>28800</v>
      </c>
      <c r="AB68" s="71">
        <v>0</v>
      </c>
      <c r="AC68" s="71">
        <v>28800</v>
      </c>
      <c r="AD68" s="71">
        <v>0</v>
      </c>
      <c r="AE68" s="71">
        <v>28800</v>
      </c>
      <c r="AF68" s="71">
        <v>0</v>
      </c>
    </row>
    <row r="69" spans="2:32" s="57" customFormat="1" x14ac:dyDescent="0.2">
      <c r="B69" s="15">
        <f t="shared" si="9"/>
        <v>63</v>
      </c>
      <c r="C69" s="11" t="s">
        <v>16</v>
      </c>
      <c r="D69" s="11">
        <v>110144590</v>
      </c>
      <c r="E69" s="20" t="str">
        <f t="shared" si="20"/>
        <v>110144590</v>
      </c>
      <c r="F69" s="11" t="s">
        <v>11</v>
      </c>
      <c r="G69" s="11" t="s">
        <v>115</v>
      </c>
      <c r="H69" s="11" t="s">
        <v>435</v>
      </c>
      <c r="I69" s="11"/>
      <c r="J69" s="11" t="s">
        <v>116</v>
      </c>
      <c r="K69" s="11" t="s">
        <v>14</v>
      </c>
      <c r="L69" s="11"/>
      <c r="M69" s="11" t="s">
        <v>21</v>
      </c>
      <c r="N69" s="11">
        <v>1</v>
      </c>
      <c r="O69" s="11" t="s">
        <v>38</v>
      </c>
      <c r="P69" s="11"/>
      <c r="Q69" s="11" t="s">
        <v>354</v>
      </c>
      <c r="R69" s="11" t="s">
        <v>354</v>
      </c>
      <c r="S69" s="47"/>
      <c r="T69" s="48"/>
      <c r="U69" s="48"/>
      <c r="V69" s="77"/>
      <c r="W69" s="48"/>
      <c r="X69" s="48"/>
      <c r="Y69" s="11"/>
      <c r="Z69" s="70"/>
      <c r="AA69" s="70"/>
      <c r="AB69" s="70"/>
      <c r="AC69" s="70"/>
      <c r="AD69" s="70"/>
      <c r="AE69" s="70"/>
      <c r="AF69" s="70"/>
    </row>
    <row r="70" spans="2:32" s="57" customFormat="1" ht="54" x14ac:dyDescent="0.2">
      <c r="B70" s="19">
        <f t="shared" si="9"/>
        <v>64</v>
      </c>
      <c r="C70" s="18" t="s">
        <v>22</v>
      </c>
      <c r="D70" s="18">
        <v>120213988</v>
      </c>
      <c r="E70" s="20" t="str">
        <f t="shared" si="20"/>
        <v>120213988</v>
      </c>
      <c r="F70" s="18" t="s">
        <v>11</v>
      </c>
      <c r="G70" s="27" t="s">
        <v>117</v>
      </c>
      <c r="H70" s="27" t="s">
        <v>436</v>
      </c>
      <c r="I70" s="18" t="s">
        <v>508</v>
      </c>
      <c r="J70" s="18" t="s">
        <v>118</v>
      </c>
      <c r="K70" s="18" t="s">
        <v>14</v>
      </c>
      <c r="L70" s="18"/>
      <c r="M70" s="18" t="s">
        <v>21</v>
      </c>
      <c r="N70" s="18">
        <v>1</v>
      </c>
      <c r="O70" s="18" t="s">
        <v>38</v>
      </c>
      <c r="P70" s="18"/>
      <c r="Q70" s="18" t="s">
        <v>394</v>
      </c>
      <c r="R70" s="18" t="s">
        <v>377</v>
      </c>
      <c r="S70" s="55" t="s">
        <v>758</v>
      </c>
      <c r="T70" s="56" t="s">
        <v>721</v>
      </c>
      <c r="U70" s="56" t="s">
        <v>720</v>
      </c>
      <c r="V70" s="76" t="s">
        <v>975</v>
      </c>
      <c r="W70" s="55" t="s">
        <v>1048</v>
      </c>
      <c r="X70" s="56" t="s">
        <v>844</v>
      </c>
      <c r="Y70" s="18" t="s">
        <v>717</v>
      </c>
      <c r="Z70" s="73">
        <v>0</v>
      </c>
      <c r="AA70" s="73">
        <v>103382</v>
      </c>
      <c r="AB70" s="73">
        <v>103382</v>
      </c>
      <c r="AC70" s="73">
        <v>99052</v>
      </c>
      <c r="AD70" s="73">
        <f>$AC70*$N70</f>
        <v>99052</v>
      </c>
      <c r="AE70" s="73">
        <v>99052</v>
      </c>
      <c r="AF70" s="73">
        <f>$AE70*$N70</f>
        <v>99052</v>
      </c>
    </row>
    <row r="71" spans="2:32" s="57" customFormat="1" x14ac:dyDescent="0.2">
      <c r="B71" s="49">
        <f t="shared" si="9"/>
        <v>65</v>
      </c>
      <c r="C71" s="50" t="s">
        <v>36</v>
      </c>
      <c r="D71" s="50">
        <v>330000145</v>
      </c>
      <c r="E71" s="20" t="str">
        <f t="shared" si="20"/>
        <v>330000145</v>
      </c>
      <c r="F71" s="50" t="s">
        <v>11</v>
      </c>
      <c r="G71" s="50" t="s">
        <v>23</v>
      </c>
      <c r="H71" s="50" t="s">
        <v>410</v>
      </c>
      <c r="I71" s="50"/>
      <c r="J71" s="50" t="s">
        <v>119</v>
      </c>
      <c r="K71" s="50" t="s">
        <v>14</v>
      </c>
      <c r="L71" s="50"/>
      <c r="M71" s="50" t="s">
        <v>21</v>
      </c>
      <c r="N71" s="50">
        <v>1</v>
      </c>
      <c r="O71" s="50" t="s">
        <v>15</v>
      </c>
      <c r="P71" s="50"/>
      <c r="Q71" s="50" t="s">
        <v>397</v>
      </c>
      <c r="R71" s="50" t="s">
        <v>383</v>
      </c>
      <c r="S71" s="51" t="s">
        <v>759</v>
      </c>
      <c r="T71" s="52" t="s">
        <v>793</v>
      </c>
      <c r="U71" s="52" t="s">
        <v>712</v>
      </c>
      <c r="V71" s="79" t="s">
        <v>898</v>
      </c>
      <c r="W71" s="52" t="s">
        <v>803</v>
      </c>
      <c r="X71" s="52" t="s">
        <v>712</v>
      </c>
      <c r="Y71" s="50" t="s">
        <v>717</v>
      </c>
      <c r="Z71" s="72">
        <v>0</v>
      </c>
      <c r="AA71" s="72">
        <v>0</v>
      </c>
      <c r="AB71" s="72">
        <v>0</v>
      </c>
      <c r="AC71" s="72">
        <v>0</v>
      </c>
      <c r="AD71" s="72">
        <v>0</v>
      </c>
      <c r="AE71" s="72">
        <v>0</v>
      </c>
      <c r="AF71" s="72">
        <v>0</v>
      </c>
    </row>
    <row r="72" spans="2:32" s="57" customFormat="1" x14ac:dyDescent="0.2">
      <c r="B72" s="49">
        <f t="shared" si="9"/>
        <v>66</v>
      </c>
      <c r="C72" s="50" t="s">
        <v>36</v>
      </c>
      <c r="D72" s="53">
        <v>5102969</v>
      </c>
      <c r="E72" s="20" t="str">
        <f t="shared" si="20"/>
        <v>5102969</v>
      </c>
      <c r="F72" s="50" t="s">
        <v>11</v>
      </c>
      <c r="G72" s="50" t="s">
        <v>120</v>
      </c>
      <c r="H72" s="50" t="s">
        <v>437</v>
      </c>
      <c r="I72" s="50" t="s">
        <v>510</v>
      </c>
      <c r="J72" s="50" t="s">
        <v>121</v>
      </c>
      <c r="K72" s="50" t="s">
        <v>14</v>
      </c>
      <c r="L72" s="50"/>
      <c r="M72" s="50" t="s">
        <v>18</v>
      </c>
      <c r="N72" s="50">
        <v>2</v>
      </c>
      <c r="O72" s="50" t="s">
        <v>15</v>
      </c>
      <c r="P72" s="50"/>
      <c r="Q72" s="50" t="s">
        <v>397</v>
      </c>
      <c r="R72" s="50" t="s">
        <v>383</v>
      </c>
      <c r="S72" s="51" t="s">
        <v>760</v>
      </c>
      <c r="T72" s="52" t="s">
        <v>836</v>
      </c>
      <c r="U72" s="52" t="s">
        <v>720</v>
      </c>
      <c r="V72" s="79" t="s">
        <v>944</v>
      </c>
      <c r="W72" s="52" t="s">
        <v>804</v>
      </c>
      <c r="X72" s="52" t="s">
        <v>712</v>
      </c>
      <c r="Y72" s="50" t="s">
        <v>717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</row>
    <row r="73" spans="2:32" s="57" customFormat="1" ht="27" x14ac:dyDescent="0.2">
      <c r="B73" s="19" t="str">
        <f>"66-1"</f>
        <v>66-1</v>
      </c>
      <c r="C73" s="18">
        <v>3</v>
      </c>
      <c r="D73" s="18">
        <v>500000396</v>
      </c>
      <c r="E73" s="20" t="str">
        <f t="shared" si="20"/>
        <v>500000396</v>
      </c>
      <c r="F73" s="18" t="s">
        <v>11</v>
      </c>
      <c r="G73" s="18"/>
      <c r="H73" s="18" t="s">
        <v>506</v>
      </c>
      <c r="I73" s="18" t="s">
        <v>510</v>
      </c>
      <c r="J73" s="25" t="s">
        <v>694</v>
      </c>
      <c r="K73" s="18"/>
      <c r="L73" s="18"/>
      <c r="M73" s="18" t="s">
        <v>18</v>
      </c>
      <c r="N73" s="18">
        <v>2</v>
      </c>
      <c r="O73" s="18" t="s">
        <v>15</v>
      </c>
      <c r="P73" s="18"/>
      <c r="Q73" s="18"/>
      <c r="R73" s="18"/>
      <c r="S73" s="55"/>
      <c r="T73" s="56"/>
      <c r="U73" s="56"/>
      <c r="V73" s="76"/>
      <c r="W73" s="56"/>
      <c r="X73" s="56"/>
      <c r="Y73" s="18"/>
      <c r="Z73" s="73"/>
      <c r="AA73" s="73"/>
      <c r="AB73" s="73"/>
      <c r="AC73" s="73"/>
      <c r="AD73" s="73"/>
      <c r="AE73" s="73"/>
      <c r="AF73" s="73"/>
    </row>
    <row r="74" spans="2:32" s="60" customFormat="1" ht="135" x14ac:dyDescent="0.2">
      <c r="B74" s="12">
        <f>B72+1</f>
        <v>67</v>
      </c>
      <c r="C74" s="20" t="s">
        <v>22</v>
      </c>
      <c r="D74" s="20">
        <v>170168743</v>
      </c>
      <c r="E74" s="20" t="str">
        <f t="shared" si="20"/>
        <v>170168743</v>
      </c>
      <c r="F74" s="20" t="s">
        <v>11</v>
      </c>
      <c r="G74" s="20" t="s">
        <v>26</v>
      </c>
      <c r="H74" s="20" t="s">
        <v>411</v>
      </c>
      <c r="I74" s="20"/>
      <c r="J74" s="20" t="s">
        <v>122</v>
      </c>
      <c r="K74" s="20" t="s">
        <v>14</v>
      </c>
      <c r="L74" s="20"/>
      <c r="M74" s="20" t="s">
        <v>21</v>
      </c>
      <c r="N74" s="20">
        <v>1</v>
      </c>
      <c r="O74" s="20" t="s">
        <v>15</v>
      </c>
      <c r="P74" s="20"/>
      <c r="Q74" s="20" t="s">
        <v>395</v>
      </c>
      <c r="R74" s="20" t="s">
        <v>396</v>
      </c>
      <c r="S74" s="58" t="s">
        <v>761</v>
      </c>
      <c r="T74" s="59" t="s">
        <v>792</v>
      </c>
      <c r="U74" s="59" t="s">
        <v>733</v>
      </c>
      <c r="V74" s="78" t="s">
        <v>977</v>
      </c>
      <c r="W74" s="59" t="s">
        <v>734</v>
      </c>
      <c r="X74" s="59" t="s">
        <v>797</v>
      </c>
      <c r="Y74" s="20" t="s">
        <v>717</v>
      </c>
      <c r="Z74" s="71">
        <v>218312</v>
      </c>
      <c r="AA74" s="71">
        <v>216000</v>
      </c>
      <c r="AB74" s="71">
        <v>216000</v>
      </c>
      <c r="AC74" s="71">
        <v>216000</v>
      </c>
      <c r="AD74" s="71">
        <f t="shared" ref="AD74:AD75" si="21">$AC74*$N74</f>
        <v>216000</v>
      </c>
      <c r="AE74" s="71">
        <v>216000</v>
      </c>
      <c r="AF74" s="71">
        <f t="shared" ref="AF74:AF75" si="22">$AE74*$N74</f>
        <v>216000</v>
      </c>
    </row>
    <row r="75" spans="2:32" s="60" customFormat="1" ht="94.5" x14ac:dyDescent="0.2">
      <c r="B75" s="12">
        <f t="shared" ref="B75:B87" si="23">B74+1</f>
        <v>68</v>
      </c>
      <c r="C75" s="20" t="s">
        <v>22</v>
      </c>
      <c r="D75" s="20">
        <v>170168751</v>
      </c>
      <c r="E75" s="20" t="str">
        <f t="shared" si="20"/>
        <v>170168751</v>
      </c>
      <c r="F75" s="20" t="s">
        <v>11</v>
      </c>
      <c r="G75" s="20" t="s">
        <v>23</v>
      </c>
      <c r="H75" s="20" t="s">
        <v>410</v>
      </c>
      <c r="I75" s="20"/>
      <c r="J75" s="20" t="s">
        <v>123</v>
      </c>
      <c r="K75" s="20" t="s">
        <v>14</v>
      </c>
      <c r="L75" s="20"/>
      <c r="M75" s="20" t="s">
        <v>21</v>
      </c>
      <c r="N75" s="20">
        <v>1</v>
      </c>
      <c r="O75" s="20" t="s">
        <v>15</v>
      </c>
      <c r="P75" s="20"/>
      <c r="Q75" s="20" t="s">
        <v>395</v>
      </c>
      <c r="R75" s="20" t="s">
        <v>396</v>
      </c>
      <c r="S75" s="58" t="s">
        <v>762</v>
      </c>
      <c r="T75" s="59" t="s">
        <v>792</v>
      </c>
      <c r="U75" s="59" t="s">
        <v>733</v>
      </c>
      <c r="V75" s="78" t="s">
        <v>978</v>
      </c>
      <c r="W75" s="59" t="s">
        <v>734</v>
      </c>
      <c r="X75" s="59" t="s">
        <v>797</v>
      </c>
      <c r="Y75" s="20" t="s">
        <v>717</v>
      </c>
      <c r="Z75" s="71">
        <v>0</v>
      </c>
      <c r="AA75" s="71">
        <v>167400</v>
      </c>
      <c r="AB75" s="71">
        <v>167400</v>
      </c>
      <c r="AC75" s="71">
        <v>167400</v>
      </c>
      <c r="AD75" s="71">
        <f t="shared" si="21"/>
        <v>167400</v>
      </c>
      <c r="AE75" s="71">
        <v>167400</v>
      </c>
      <c r="AF75" s="71">
        <f t="shared" si="22"/>
        <v>167400</v>
      </c>
    </row>
    <row r="76" spans="2:32" s="57" customFormat="1" x14ac:dyDescent="0.2">
      <c r="B76" s="12">
        <f t="shared" si="23"/>
        <v>69</v>
      </c>
      <c r="C76" s="20" t="s">
        <v>22</v>
      </c>
      <c r="D76" s="20">
        <v>320000363</v>
      </c>
      <c r="E76" s="20" t="str">
        <f t="shared" si="20"/>
        <v>320000363</v>
      </c>
      <c r="F76" s="20" t="s">
        <v>11</v>
      </c>
      <c r="G76" s="20" t="s">
        <v>29</v>
      </c>
      <c r="H76" s="20" t="s">
        <v>412</v>
      </c>
      <c r="I76" s="20"/>
      <c r="J76" s="20" t="s">
        <v>103</v>
      </c>
      <c r="K76" s="20" t="s">
        <v>14</v>
      </c>
      <c r="L76" s="20"/>
      <c r="M76" s="20" t="s">
        <v>21</v>
      </c>
      <c r="N76" s="20">
        <v>1</v>
      </c>
      <c r="O76" s="20" t="s">
        <v>15</v>
      </c>
      <c r="P76" s="20"/>
      <c r="Q76" s="20" t="s">
        <v>395</v>
      </c>
      <c r="R76" s="20" t="s">
        <v>346</v>
      </c>
      <c r="S76" s="58" t="s">
        <v>746</v>
      </c>
      <c r="T76" s="59" t="s">
        <v>1238</v>
      </c>
      <c r="U76" s="59" t="s">
        <v>801</v>
      </c>
      <c r="V76" s="78" t="s">
        <v>820</v>
      </c>
      <c r="W76" s="59" t="s">
        <v>805</v>
      </c>
      <c r="X76" s="59" t="s">
        <v>839</v>
      </c>
      <c r="Y76" s="20" t="s">
        <v>843</v>
      </c>
      <c r="Z76" s="71">
        <v>0</v>
      </c>
      <c r="AA76" s="71">
        <v>290000</v>
      </c>
      <c r="AB76" s="71">
        <v>290000</v>
      </c>
      <c r="AC76" s="113">
        <v>89.59</v>
      </c>
      <c r="AD76" s="113">
        <f t="shared" ref="AD76:AD77" si="24">($Y$1*$AC76)*$N76</f>
        <v>121484.04000000001</v>
      </c>
      <c r="AE76" s="113">
        <v>89.59</v>
      </c>
      <c r="AF76" s="113">
        <f t="shared" ref="AF76:AF77" si="25">($Y$1*$AC76)*$N76</f>
        <v>121484.04000000001</v>
      </c>
    </row>
    <row r="77" spans="2:32" s="57" customFormat="1" x14ac:dyDescent="0.2">
      <c r="B77" s="12">
        <f t="shared" si="23"/>
        <v>70</v>
      </c>
      <c r="C77" s="20" t="s">
        <v>22</v>
      </c>
      <c r="D77" s="20">
        <v>340002212</v>
      </c>
      <c r="E77" s="20" t="str">
        <f t="shared" si="20"/>
        <v>340002212</v>
      </c>
      <c r="F77" s="20" t="s">
        <v>11</v>
      </c>
      <c r="G77" s="20" t="s">
        <v>23</v>
      </c>
      <c r="H77" s="20" t="s">
        <v>410</v>
      </c>
      <c r="I77" s="20"/>
      <c r="J77" s="20" t="s">
        <v>104</v>
      </c>
      <c r="K77" s="20" t="s">
        <v>14</v>
      </c>
      <c r="L77" s="20"/>
      <c r="M77" s="20" t="s">
        <v>18</v>
      </c>
      <c r="N77" s="20">
        <v>2</v>
      </c>
      <c r="O77" s="20" t="s">
        <v>15</v>
      </c>
      <c r="P77" s="20"/>
      <c r="Q77" s="20" t="s">
        <v>395</v>
      </c>
      <c r="R77" s="20" t="s">
        <v>346</v>
      </c>
      <c r="S77" s="58" t="s">
        <v>747</v>
      </c>
      <c r="T77" s="59" t="s">
        <v>1238</v>
      </c>
      <c r="U77" s="59" t="s">
        <v>720</v>
      </c>
      <c r="V77" s="78" t="s">
        <v>821</v>
      </c>
      <c r="W77" s="59" t="s">
        <v>805</v>
      </c>
      <c r="X77" s="59" t="s">
        <v>840</v>
      </c>
      <c r="Y77" s="20" t="s">
        <v>843</v>
      </c>
      <c r="Z77" s="71">
        <v>0</v>
      </c>
      <c r="AA77" s="71">
        <v>163000</v>
      </c>
      <c r="AB77" s="71">
        <v>326000</v>
      </c>
      <c r="AC77" s="113">
        <v>62.91</v>
      </c>
      <c r="AD77" s="113">
        <f t="shared" si="24"/>
        <v>170611.91999999998</v>
      </c>
      <c r="AE77" s="113">
        <v>62.91</v>
      </c>
      <c r="AF77" s="113">
        <f t="shared" si="25"/>
        <v>170611.91999999998</v>
      </c>
    </row>
    <row r="78" spans="2:32" s="57" customFormat="1" ht="27" x14ac:dyDescent="0.2">
      <c r="B78" s="12">
        <f t="shared" si="23"/>
        <v>71</v>
      </c>
      <c r="C78" s="20" t="s">
        <v>22</v>
      </c>
      <c r="D78" s="20">
        <v>3402049</v>
      </c>
      <c r="E78" s="20" t="str">
        <f t="shared" si="20"/>
        <v>3402049</v>
      </c>
      <c r="F78" s="20" t="s">
        <v>11</v>
      </c>
      <c r="G78" s="20" t="s">
        <v>60</v>
      </c>
      <c r="H78" s="20" t="e">
        <v>#N/A</v>
      </c>
      <c r="I78" s="20"/>
      <c r="J78" s="20" t="s">
        <v>366</v>
      </c>
      <c r="K78" s="20" t="s">
        <v>14</v>
      </c>
      <c r="L78" s="20"/>
      <c r="M78" s="20" t="s">
        <v>21</v>
      </c>
      <c r="N78" s="20">
        <v>1</v>
      </c>
      <c r="O78" s="20" t="s">
        <v>15</v>
      </c>
      <c r="P78" s="20"/>
      <c r="Q78" s="20" t="s">
        <v>395</v>
      </c>
      <c r="R78" s="20" t="s">
        <v>346</v>
      </c>
      <c r="S78" s="58" t="s">
        <v>748</v>
      </c>
      <c r="T78" s="59" t="s">
        <v>721</v>
      </c>
      <c r="U78" s="59" t="s">
        <v>720</v>
      </c>
      <c r="V78" s="78" t="s">
        <v>980</v>
      </c>
      <c r="W78" s="59" t="s">
        <v>806</v>
      </c>
      <c r="X78" s="59" t="s">
        <v>841</v>
      </c>
      <c r="Y78" s="20" t="s">
        <v>717</v>
      </c>
      <c r="Z78" s="71">
        <v>0</v>
      </c>
      <c r="AA78" s="71">
        <v>68969</v>
      </c>
      <c r="AB78" s="71">
        <f>AA78*N78</f>
        <v>68969</v>
      </c>
      <c r="AC78" s="71">
        <v>90219</v>
      </c>
      <c r="AD78" s="71">
        <f t="shared" ref="AD78:AD80" si="26">$AC78*$N78</f>
        <v>90219</v>
      </c>
      <c r="AE78" s="71">
        <v>74000</v>
      </c>
      <c r="AF78" s="71">
        <f t="shared" ref="AF78:AF80" si="27">$AE78*$N78</f>
        <v>74000</v>
      </c>
    </row>
    <row r="79" spans="2:32" s="57" customFormat="1" ht="54" x14ac:dyDescent="0.2">
      <c r="B79" s="12">
        <f t="shared" si="23"/>
        <v>72</v>
      </c>
      <c r="C79" s="20" t="s">
        <v>22</v>
      </c>
      <c r="D79" s="20">
        <v>3402684</v>
      </c>
      <c r="E79" s="20" t="str">
        <f t="shared" si="20"/>
        <v>3402684</v>
      </c>
      <c r="F79" s="20" t="s">
        <v>11</v>
      </c>
      <c r="G79" s="20" t="s">
        <v>23</v>
      </c>
      <c r="H79" s="20" t="s">
        <v>410</v>
      </c>
      <c r="I79" s="20"/>
      <c r="J79" s="20" t="s">
        <v>107</v>
      </c>
      <c r="K79" s="20" t="s">
        <v>14</v>
      </c>
      <c r="L79" s="20"/>
      <c r="M79" s="20" t="s">
        <v>21</v>
      </c>
      <c r="N79" s="20">
        <v>1</v>
      </c>
      <c r="O79" s="20" t="s">
        <v>15</v>
      </c>
      <c r="P79" s="20"/>
      <c r="Q79" s="20" t="s">
        <v>395</v>
      </c>
      <c r="R79" s="20" t="s">
        <v>346</v>
      </c>
      <c r="S79" s="58" t="s">
        <v>1041</v>
      </c>
      <c r="T79" s="59" t="s">
        <v>738</v>
      </c>
      <c r="U79" s="59" t="s">
        <v>718</v>
      </c>
      <c r="V79" s="78" t="s">
        <v>928</v>
      </c>
      <c r="W79" s="59" t="s">
        <v>737</v>
      </c>
      <c r="X79" s="58" t="s">
        <v>1040</v>
      </c>
      <c r="Y79" s="20" t="s">
        <v>717</v>
      </c>
      <c r="Z79" s="71">
        <v>0</v>
      </c>
      <c r="AA79" s="71">
        <v>23400</v>
      </c>
      <c r="AB79" s="71">
        <v>23400</v>
      </c>
      <c r="AC79" s="71">
        <v>23400</v>
      </c>
      <c r="AD79" s="71">
        <f t="shared" si="26"/>
        <v>23400</v>
      </c>
      <c r="AE79" s="71">
        <v>23400</v>
      </c>
      <c r="AF79" s="71">
        <f t="shared" si="27"/>
        <v>23400</v>
      </c>
    </row>
    <row r="80" spans="2:32" s="57" customFormat="1" ht="27" x14ac:dyDescent="0.2">
      <c r="B80" s="12">
        <f t="shared" si="23"/>
        <v>73</v>
      </c>
      <c r="C80" s="20" t="s">
        <v>22</v>
      </c>
      <c r="D80" s="20">
        <v>350001184</v>
      </c>
      <c r="E80" s="20" t="str">
        <f t="shared" si="20"/>
        <v>350001184</v>
      </c>
      <c r="F80" s="20" t="s">
        <v>11</v>
      </c>
      <c r="G80" s="20" t="s">
        <v>60</v>
      </c>
      <c r="H80" s="20" t="s">
        <v>422</v>
      </c>
      <c r="I80" s="20"/>
      <c r="J80" s="20" t="s">
        <v>108</v>
      </c>
      <c r="K80" s="20" t="s">
        <v>14</v>
      </c>
      <c r="L80" s="20"/>
      <c r="M80" s="20" t="s">
        <v>18</v>
      </c>
      <c r="N80" s="20">
        <v>2</v>
      </c>
      <c r="O80" s="20" t="s">
        <v>15</v>
      </c>
      <c r="P80" s="20"/>
      <c r="Q80" s="20" t="s">
        <v>395</v>
      </c>
      <c r="R80" s="20" t="s">
        <v>346</v>
      </c>
      <c r="S80" s="58" t="s">
        <v>749</v>
      </c>
      <c r="T80" s="59" t="s">
        <v>836</v>
      </c>
      <c r="U80" s="59" t="s">
        <v>720</v>
      </c>
      <c r="V80" s="78" t="s">
        <v>823</v>
      </c>
      <c r="W80" s="59" t="s">
        <v>804</v>
      </c>
      <c r="X80" s="59" t="s">
        <v>751</v>
      </c>
      <c r="Y80" s="20" t="s">
        <v>717</v>
      </c>
      <c r="Z80" s="71">
        <v>0</v>
      </c>
      <c r="AA80" s="71">
        <v>2470</v>
      </c>
      <c r="AB80" s="71">
        <v>4940</v>
      </c>
      <c r="AC80" s="71">
        <v>2470</v>
      </c>
      <c r="AD80" s="71">
        <f t="shared" si="26"/>
        <v>4940</v>
      </c>
      <c r="AE80" s="71">
        <v>2470</v>
      </c>
      <c r="AF80" s="71">
        <f t="shared" si="27"/>
        <v>4940</v>
      </c>
    </row>
    <row r="81" spans="1:32" s="57" customFormat="1" ht="27" x14ac:dyDescent="0.2">
      <c r="B81" s="12">
        <f t="shared" si="23"/>
        <v>74</v>
      </c>
      <c r="C81" s="20" t="s">
        <v>22</v>
      </c>
      <c r="D81" s="20">
        <v>430000724</v>
      </c>
      <c r="E81" s="20" t="str">
        <f t="shared" si="20"/>
        <v>430000724</v>
      </c>
      <c r="F81" s="20" t="s">
        <v>11</v>
      </c>
      <c r="G81" s="20" t="s">
        <v>109</v>
      </c>
      <c r="H81" s="20" t="s">
        <v>432</v>
      </c>
      <c r="I81" s="20"/>
      <c r="J81" s="20" t="s">
        <v>110</v>
      </c>
      <c r="K81" s="20" t="s">
        <v>14</v>
      </c>
      <c r="L81" s="20"/>
      <c r="M81" s="20" t="s">
        <v>18</v>
      </c>
      <c r="N81" s="20">
        <v>2</v>
      </c>
      <c r="O81" s="20" t="s">
        <v>15</v>
      </c>
      <c r="P81" s="20"/>
      <c r="Q81" s="20" t="s">
        <v>395</v>
      </c>
      <c r="R81" s="20" t="s">
        <v>346</v>
      </c>
      <c r="S81" s="58" t="s">
        <v>750</v>
      </c>
      <c r="T81" s="59" t="s">
        <v>1238</v>
      </c>
      <c r="U81" s="59" t="s">
        <v>720</v>
      </c>
      <c r="V81" s="78" t="s">
        <v>982</v>
      </c>
      <c r="W81" s="59" t="s">
        <v>805</v>
      </c>
      <c r="X81" s="59" t="s">
        <v>840</v>
      </c>
      <c r="Y81" s="20" t="s">
        <v>843</v>
      </c>
      <c r="Z81" s="71">
        <v>0</v>
      </c>
      <c r="AA81" s="71">
        <v>75000</v>
      </c>
      <c r="AB81" s="71">
        <v>150000</v>
      </c>
      <c r="AC81" s="113">
        <v>23.08</v>
      </c>
      <c r="AD81" s="113">
        <f>($Y$1*$AC81)*$N81</f>
        <v>62592.959999999992</v>
      </c>
      <c r="AE81" s="113">
        <v>23.08</v>
      </c>
      <c r="AF81" s="113">
        <f>($Y$1*$AC81)*$N81</f>
        <v>62592.959999999992</v>
      </c>
    </row>
    <row r="82" spans="1:32" s="57" customFormat="1" x14ac:dyDescent="0.2">
      <c r="B82" s="12">
        <f t="shared" si="23"/>
        <v>75</v>
      </c>
      <c r="C82" s="20" t="s">
        <v>22</v>
      </c>
      <c r="D82" s="20" t="s">
        <v>367</v>
      </c>
      <c r="E82" s="20" t="str">
        <f t="shared" si="20"/>
        <v>44S0093</v>
      </c>
      <c r="F82" s="20" t="s">
        <v>11</v>
      </c>
      <c r="G82" s="20" t="s">
        <v>111</v>
      </c>
      <c r="H82" s="20" t="s">
        <v>433</v>
      </c>
      <c r="I82" s="20"/>
      <c r="J82" s="20" t="s">
        <v>112</v>
      </c>
      <c r="K82" s="20" t="s">
        <v>14</v>
      </c>
      <c r="L82" s="20"/>
      <c r="M82" s="20" t="s">
        <v>55</v>
      </c>
      <c r="N82" s="20">
        <v>4</v>
      </c>
      <c r="O82" s="20" t="s">
        <v>15</v>
      </c>
      <c r="P82" s="20"/>
      <c r="Q82" s="20" t="s">
        <v>395</v>
      </c>
      <c r="R82" s="20" t="s">
        <v>346</v>
      </c>
      <c r="S82" s="58" t="s">
        <v>747</v>
      </c>
      <c r="T82" s="59" t="s">
        <v>1240</v>
      </c>
      <c r="U82" s="59" t="s">
        <v>718</v>
      </c>
      <c r="V82" s="78" t="s">
        <v>1046</v>
      </c>
      <c r="W82" s="59" t="s">
        <v>805</v>
      </c>
      <c r="X82" s="59" t="s">
        <v>840</v>
      </c>
      <c r="Y82" s="20" t="s">
        <v>843</v>
      </c>
      <c r="Z82" s="71">
        <v>0</v>
      </c>
      <c r="AA82" s="71">
        <v>400</v>
      </c>
      <c r="AB82" s="71">
        <v>400</v>
      </c>
      <c r="AC82" s="113">
        <v>9.4700000000000006</v>
      </c>
      <c r="AD82" s="113">
        <v>0</v>
      </c>
      <c r="AE82" s="113">
        <v>9.4700000000000006</v>
      </c>
      <c r="AF82" s="113">
        <v>0</v>
      </c>
    </row>
    <row r="83" spans="1:32" s="57" customFormat="1" x14ac:dyDescent="0.2">
      <c r="B83" s="12">
        <f t="shared" si="23"/>
        <v>76</v>
      </c>
      <c r="C83" s="20" t="s">
        <v>22</v>
      </c>
      <c r="D83" s="20">
        <v>9200106</v>
      </c>
      <c r="E83" s="20" t="str">
        <f t="shared" si="20"/>
        <v>9200106</v>
      </c>
      <c r="F83" s="20" t="s">
        <v>11</v>
      </c>
      <c r="G83" s="20" t="s">
        <v>113</v>
      </c>
      <c r="H83" s="20" t="s">
        <v>434</v>
      </c>
      <c r="I83" s="20"/>
      <c r="J83" s="20" t="s">
        <v>114</v>
      </c>
      <c r="K83" s="20" t="s">
        <v>14</v>
      </c>
      <c r="L83" s="20"/>
      <c r="M83" s="20" t="s">
        <v>25</v>
      </c>
      <c r="N83" s="20">
        <v>0</v>
      </c>
      <c r="O83" s="20" t="s">
        <v>15</v>
      </c>
      <c r="P83" s="20"/>
      <c r="Q83" s="20" t="s">
        <v>395</v>
      </c>
      <c r="R83" s="20" t="s">
        <v>346</v>
      </c>
      <c r="S83" s="58" t="s">
        <v>728</v>
      </c>
      <c r="T83" s="59" t="s">
        <v>738</v>
      </c>
      <c r="U83" s="59" t="s">
        <v>719</v>
      </c>
      <c r="V83" s="78" t="s">
        <v>824</v>
      </c>
      <c r="W83" s="59" t="s">
        <v>735</v>
      </c>
      <c r="X83" s="59" t="s">
        <v>842</v>
      </c>
      <c r="Y83" s="20" t="s">
        <v>717</v>
      </c>
      <c r="Z83" s="71">
        <v>0</v>
      </c>
      <c r="AA83" s="71">
        <v>28800</v>
      </c>
      <c r="AB83" s="71">
        <v>0</v>
      </c>
      <c r="AC83" s="71">
        <v>28800</v>
      </c>
      <c r="AD83" s="71">
        <v>0</v>
      </c>
      <c r="AE83" s="71">
        <v>28800</v>
      </c>
      <c r="AF83" s="71">
        <v>0</v>
      </c>
    </row>
    <row r="84" spans="1:32" s="57" customFormat="1" x14ac:dyDescent="0.2">
      <c r="B84" s="19">
        <f t="shared" si="23"/>
        <v>77</v>
      </c>
      <c r="C84" s="18" t="s">
        <v>16</v>
      </c>
      <c r="D84" s="18">
        <v>110144600</v>
      </c>
      <c r="E84" s="20" t="str">
        <f t="shared" si="20"/>
        <v>110144600</v>
      </c>
      <c r="F84" s="18" t="s">
        <v>11</v>
      </c>
      <c r="G84" s="27" t="s">
        <v>124</v>
      </c>
      <c r="H84" s="27" t="s">
        <v>438</v>
      </c>
      <c r="I84" s="27" t="s">
        <v>511</v>
      </c>
      <c r="J84" s="18" t="s">
        <v>125</v>
      </c>
      <c r="K84" s="18" t="s">
        <v>14</v>
      </c>
      <c r="L84" s="18"/>
      <c r="M84" s="18" t="s">
        <v>21</v>
      </c>
      <c r="N84" s="18">
        <v>1</v>
      </c>
      <c r="O84" s="18" t="s">
        <v>38</v>
      </c>
      <c r="P84" s="18"/>
      <c r="Q84" s="18" t="s">
        <v>354</v>
      </c>
      <c r="R84" s="18" t="s">
        <v>354</v>
      </c>
      <c r="S84" s="55" t="s">
        <v>712</v>
      </c>
      <c r="T84" s="56" t="s">
        <v>712</v>
      </c>
      <c r="U84" s="56" t="s">
        <v>712</v>
      </c>
      <c r="V84" s="76" t="s">
        <v>713</v>
      </c>
      <c r="W84" s="56" t="s">
        <v>807</v>
      </c>
      <c r="X84" s="56" t="s">
        <v>712</v>
      </c>
      <c r="Y84" s="18" t="s">
        <v>717</v>
      </c>
      <c r="Z84" s="73">
        <v>0</v>
      </c>
      <c r="AA84" s="73">
        <v>0</v>
      </c>
      <c r="AB84" s="73">
        <v>0</v>
      </c>
      <c r="AC84" s="73">
        <v>0</v>
      </c>
      <c r="AD84" s="73">
        <v>0</v>
      </c>
      <c r="AE84" s="73">
        <v>0</v>
      </c>
      <c r="AF84" s="73">
        <v>0</v>
      </c>
    </row>
    <row r="85" spans="1:32" s="57" customFormat="1" ht="54" x14ac:dyDescent="0.2">
      <c r="B85" s="12">
        <f t="shared" si="23"/>
        <v>78</v>
      </c>
      <c r="C85" s="20" t="s">
        <v>22</v>
      </c>
      <c r="D85" s="20">
        <v>120213988</v>
      </c>
      <c r="E85" s="20" t="str">
        <f t="shared" si="20"/>
        <v>120213988</v>
      </c>
      <c r="F85" s="20" t="s">
        <v>11</v>
      </c>
      <c r="G85" s="20" t="s">
        <v>117</v>
      </c>
      <c r="H85" s="20" t="s">
        <v>436</v>
      </c>
      <c r="I85" s="20"/>
      <c r="J85" s="20" t="s">
        <v>118</v>
      </c>
      <c r="K85" s="20" t="s">
        <v>14</v>
      </c>
      <c r="L85" s="20"/>
      <c r="M85" s="20" t="s">
        <v>21</v>
      </c>
      <c r="N85" s="20">
        <v>1</v>
      </c>
      <c r="O85" s="20" t="s">
        <v>38</v>
      </c>
      <c r="P85" s="20"/>
      <c r="Q85" s="20" t="s">
        <v>394</v>
      </c>
      <c r="R85" s="20" t="s">
        <v>355</v>
      </c>
      <c r="S85" s="58" t="s">
        <v>758</v>
      </c>
      <c r="T85" s="59" t="s">
        <v>721</v>
      </c>
      <c r="U85" s="59" t="s">
        <v>720</v>
      </c>
      <c r="V85" s="78" t="s">
        <v>975</v>
      </c>
      <c r="W85" s="59" t="s">
        <v>802</v>
      </c>
      <c r="X85" s="59" t="s">
        <v>844</v>
      </c>
      <c r="Y85" s="20" t="s">
        <v>717</v>
      </c>
      <c r="Z85" s="71">
        <v>0</v>
      </c>
      <c r="AA85" s="71">
        <v>103382</v>
      </c>
      <c r="AB85" s="71">
        <v>103382</v>
      </c>
      <c r="AC85" s="71">
        <v>99052</v>
      </c>
      <c r="AD85" s="71">
        <f>$AC85*$N85</f>
        <v>99052</v>
      </c>
      <c r="AE85" s="71">
        <v>99052</v>
      </c>
      <c r="AF85" s="71">
        <f>$AE85*$N85</f>
        <v>99052</v>
      </c>
    </row>
    <row r="86" spans="1:32" s="57" customFormat="1" x14ac:dyDescent="0.2">
      <c r="B86" s="49">
        <f t="shared" si="23"/>
        <v>79</v>
      </c>
      <c r="C86" s="50" t="s">
        <v>36</v>
      </c>
      <c r="D86" s="50">
        <v>330000145</v>
      </c>
      <c r="E86" s="20" t="str">
        <f t="shared" si="20"/>
        <v>330000145</v>
      </c>
      <c r="F86" s="50" t="s">
        <v>11</v>
      </c>
      <c r="G86" s="50" t="s">
        <v>23</v>
      </c>
      <c r="H86" s="50" t="s">
        <v>410</v>
      </c>
      <c r="I86" s="50"/>
      <c r="J86" s="50" t="s">
        <v>119</v>
      </c>
      <c r="K86" s="50" t="s">
        <v>14</v>
      </c>
      <c r="L86" s="50"/>
      <c r="M86" s="50" t="s">
        <v>21</v>
      </c>
      <c r="N86" s="50">
        <v>1</v>
      </c>
      <c r="O86" s="50" t="s">
        <v>15</v>
      </c>
      <c r="P86" s="50"/>
      <c r="Q86" s="50" t="s">
        <v>397</v>
      </c>
      <c r="R86" s="50" t="s">
        <v>384</v>
      </c>
      <c r="S86" s="51" t="s">
        <v>759</v>
      </c>
      <c r="T86" s="52" t="s">
        <v>793</v>
      </c>
      <c r="U86" s="52" t="s">
        <v>712</v>
      </c>
      <c r="V86" s="79" t="s">
        <v>985</v>
      </c>
      <c r="W86" s="52" t="s">
        <v>803</v>
      </c>
      <c r="X86" s="52" t="s">
        <v>712</v>
      </c>
      <c r="Y86" s="50" t="s">
        <v>717</v>
      </c>
      <c r="Z86" s="72">
        <v>0</v>
      </c>
      <c r="AA86" s="72">
        <v>0</v>
      </c>
      <c r="AB86" s="72">
        <v>0</v>
      </c>
      <c r="AC86" s="72">
        <v>0</v>
      </c>
      <c r="AD86" s="72">
        <v>0</v>
      </c>
      <c r="AE86" s="72">
        <v>0</v>
      </c>
      <c r="AF86" s="72">
        <v>0</v>
      </c>
    </row>
    <row r="87" spans="1:32" s="85" customFormat="1" x14ac:dyDescent="0.2">
      <c r="A87" s="57"/>
      <c r="B87" s="54">
        <f t="shared" si="23"/>
        <v>80</v>
      </c>
      <c r="C87" s="53" t="s">
        <v>36</v>
      </c>
      <c r="D87" s="53">
        <v>5102969</v>
      </c>
      <c r="E87" s="29" t="str">
        <f t="shared" si="20"/>
        <v>5102969</v>
      </c>
      <c r="F87" s="53" t="s">
        <v>11</v>
      </c>
      <c r="G87" s="53" t="s">
        <v>120</v>
      </c>
      <c r="H87" s="53" t="s">
        <v>437</v>
      </c>
      <c r="I87" s="53"/>
      <c r="J87" s="53" t="s">
        <v>121</v>
      </c>
      <c r="K87" s="53" t="s">
        <v>14</v>
      </c>
      <c r="L87" s="53"/>
      <c r="M87" s="53" t="s">
        <v>18</v>
      </c>
      <c r="N87" s="53">
        <v>2</v>
      </c>
      <c r="O87" s="53" t="s">
        <v>15</v>
      </c>
      <c r="P87" s="53"/>
      <c r="Q87" s="53" t="s">
        <v>397</v>
      </c>
      <c r="R87" s="53" t="s">
        <v>384</v>
      </c>
      <c r="S87" s="81" t="s">
        <v>760</v>
      </c>
      <c r="T87" s="82" t="s">
        <v>836</v>
      </c>
      <c r="U87" s="82" t="s">
        <v>720</v>
      </c>
      <c r="V87" s="83" t="s">
        <v>988</v>
      </c>
      <c r="W87" s="82" t="s">
        <v>804</v>
      </c>
      <c r="X87" s="82" t="s">
        <v>712</v>
      </c>
      <c r="Y87" s="53" t="s">
        <v>717</v>
      </c>
      <c r="Z87" s="84">
        <v>0</v>
      </c>
      <c r="AA87" s="84">
        <v>0</v>
      </c>
      <c r="AB87" s="84">
        <v>0</v>
      </c>
      <c r="AC87" s="84">
        <v>0</v>
      </c>
      <c r="AD87" s="84">
        <v>0</v>
      </c>
      <c r="AE87" s="84">
        <v>0</v>
      </c>
      <c r="AF87" s="84">
        <v>0</v>
      </c>
    </row>
    <row r="88" spans="1:32" s="57" customFormat="1" ht="27" x14ac:dyDescent="0.2">
      <c r="B88" s="19" t="str">
        <f>"80-1"</f>
        <v>80-1</v>
      </c>
      <c r="C88" s="18">
        <v>3</v>
      </c>
      <c r="D88" s="18">
        <v>500000396</v>
      </c>
      <c r="E88" s="20" t="str">
        <f t="shared" si="20"/>
        <v>500000396</v>
      </c>
      <c r="F88" s="18" t="s">
        <v>11</v>
      </c>
      <c r="G88" s="18"/>
      <c r="H88" s="18" t="s">
        <v>506</v>
      </c>
      <c r="I88" s="18" t="s">
        <v>510</v>
      </c>
      <c r="J88" s="25" t="s">
        <v>509</v>
      </c>
      <c r="K88" s="18"/>
      <c r="L88" s="18"/>
      <c r="M88" s="18" t="s">
        <v>18</v>
      </c>
      <c r="N88" s="18">
        <v>2</v>
      </c>
      <c r="O88" s="18" t="s">
        <v>15</v>
      </c>
      <c r="P88" s="18"/>
      <c r="Q88" s="18"/>
      <c r="R88" s="18"/>
      <c r="S88" s="55"/>
      <c r="T88" s="56"/>
      <c r="U88" s="56"/>
      <c r="V88" s="76"/>
      <c r="W88" s="56"/>
      <c r="X88" s="56"/>
      <c r="Y88" s="18"/>
      <c r="Z88" s="73"/>
      <c r="AA88" s="73"/>
      <c r="AB88" s="73"/>
      <c r="AC88" s="73"/>
      <c r="AD88" s="73"/>
      <c r="AE88" s="73"/>
      <c r="AF88" s="73"/>
    </row>
    <row r="89" spans="1:32" s="57" customFormat="1" ht="81" x14ac:dyDescent="0.2">
      <c r="B89" s="12">
        <f>B87+1</f>
        <v>81</v>
      </c>
      <c r="C89" s="20" t="s">
        <v>22</v>
      </c>
      <c r="D89" s="20">
        <v>170168748</v>
      </c>
      <c r="E89" s="20" t="str">
        <f t="shared" si="20"/>
        <v>170168748</v>
      </c>
      <c r="F89" s="20" t="s">
        <v>11</v>
      </c>
      <c r="G89" s="20" t="s">
        <v>29</v>
      </c>
      <c r="H89" s="20" t="s">
        <v>439</v>
      </c>
      <c r="I89" s="20"/>
      <c r="J89" s="20" t="s">
        <v>126</v>
      </c>
      <c r="K89" s="20" t="s">
        <v>127</v>
      </c>
      <c r="L89" s="20"/>
      <c r="M89" s="20" t="s">
        <v>21</v>
      </c>
      <c r="N89" s="20">
        <v>1</v>
      </c>
      <c r="O89" s="20" t="s">
        <v>38</v>
      </c>
      <c r="P89" s="20"/>
      <c r="Q89" s="20" t="s">
        <v>395</v>
      </c>
      <c r="R89" s="20" t="s">
        <v>396</v>
      </c>
      <c r="S89" s="58" t="s">
        <v>763</v>
      </c>
      <c r="T89" s="59" t="s">
        <v>792</v>
      </c>
      <c r="U89" s="59" t="s">
        <v>733</v>
      </c>
      <c r="V89" s="78" t="s">
        <v>983</v>
      </c>
      <c r="W89" s="59" t="s">
        <v>734</v>
      </c>
      <c r="X89" s="59" t="s">
        <v>797</v>
      </c>
      <c r="Y89" s="20" t="s">
        <v>717</v>
      </c>
      <c r="Z89" s="71">
        <v>190138.5</v>
      </c>
      <c r="AA89" s="71">
        <v>211500</v>
      </c>
      <c r="AB89" s="71">
        <v>211500</v>
      </c>
      <c r="AC89" s="71">
        <v>211500</v>
      </c>
      <c r="AD89" s="71">
        <f t="shared" ref="AD89:AD90" si="28">$AC89*$N89</f>
        <v>211500</v>
      </c>
      <c r="AE89" s="71">
        <v>211500</v>
      </c>
      <c r="AF89" s="71">
        <f t="shared" ref="AF89:AF90" si="29">$AE89*$N89</f>
        <v>211500</v>
      </c>
    </row>
    <row r="90" spans="1:32" s="57" customFormat="1" ht="81" x14ac:dyDescent="0.2">
      <c r="B90" s="12">
        <f>B89+1</f>
        <v>82</v>
      </c>
      <c r="C90" s="20" t="s">
        <v>22</v>
      </c>
      <c r="D90" s="20">
        <v>170168749</v>
      </c>
      <c r="E90" s="20" t="str">
        <f t="shared" si="20"/>
        <v>170168749</v>
      </c>
      <c r="F90" s="20" t="s">
        <v>11</v>
      </c>
      <c r="G90" s="20" t="s">
        <v>100</v>
      </c>
      <c r="H90" s="20" t="s">
        <v>431</v>
      </c>
      <c r="I90" s="20"/>
      <c r="J90" s="20" t="s">
        <v>128</v>
      </c>
      <c r="K90" s="20" t="s">
        <v>68</v>
      </c>
      <c r="L90" s="20"/>
      <c r="M90" s="20" t="s">
        <v>21</v>
      </c>
      <c r="N90" s="20">
        <v>1</v>
      </c>
      <c r="O90" s="20" t="s">
        <v>15</v>
      </c>
      <c r="P90" s="20"/>
      <c r="Q90" s="20" t="s">
        <v>395</v>
      </c>
      <c r="R90" s="20" t="s">
        <v>396</v>
      </c>
      <c r="S90" s="58" t="s">
        <v>764</v>
      </c>
      <c r="T90" s="59" t="s">
        <v>792</v>
      </c>
      <c r="U90" s="59" t="s">
        <v>733</v>
      </c>
      <c r="V90" s="78" t="s">
        <v>984</v>
      </c>
      <c r="W90" s="59" t="s">
        <v>734</v>
      </c>
      <c r="X90" s="59" t="s">
        <v>797</v>
      </c>
      <c r="Y90" s="20" t="s">
        <v>717</v>
      </c>
      <c r="Z90" s="71">
        <v>0</v>
      </c>
      <c r="AA90" s="71">
        <v>189000</v>
      </c>
      <c r="AB90" s="71">
        <v>189000</v>
      </c>
      <c r="AC90" s="71">
        <v>189000</v>
      </c>
      <c r="AD90" s="71">
        <f t="shared" si="28"/>
        <v>189000</v>
      </c>
      <c r="AE90" s="71">
        <v>189000</v>
      </c>
      <c r="AF90" s="71">
        <f t="shared" si="29"/>
        <v>189000</v>
      </c>
    </row>
    <row r="91" spans="1:32" s="57" customFormat="1" ht="27" x14ac:dyDescent="0.2">
      <c r="B91" s="19">
        <f>B90+1</f>
        <v>83</v>
      </c>
      <c r="C91" s="18" t="s">
        <v>22</v>
      </c>
      <c r="D91" s="18">
        <v>300000852</v>
      </c>
      <c r="E91" s="20" t="str">
        <f t="shared" si="20"/>
        <v>300000852</v>
      </c>
      <c r="F91" s="18" t="s">
        <v>11</v>
      </c>
      <c r="G91" s="18" t="s">
        <v>23</v>
      </c>
      <c r="H91" s="18" t="s">
        <v>440</v>
      </c>
      <c r="I91" s="18" t="s">
        <v>512</v>
      </c>
      <c r="J91" s="18" t="s">
        <v>129</v>
      </c>
      <c r="K91" s="18" t="s">
        <v>70</v>
      </c>
      <c r="L91" s="18"/>
      <c r="M91" s="18" t="s">
        <v>21</v>
      </c>
      <c r="N91" s="18">
        <v>1</v>
      </c>
      <c r="O91" s="18" t="s">
        <v>38</v>
      </c>
      <c r="P91" s="18"/>
      <c r="Q91" s="18" t="s">
        <v>395</v>
      </c>
      <c r="R91" s="18" t="s">
        <v>346</v>
      </c>
      <c r="S91" s="55" t="s">
        <v>765</v>
      </c>
      <c r="T91" s="56" t="s">
        <v>1238</v>
      </c>
      <c r="U91" s="56" t="s">
        <v>718</v>
      </c>
      <c r="V91" s="76" t="s">
        <v>986</v>
      </c>
      <c r="W91" s="56" t="s">
        <v>805</v>
      </c>
      <c r="X91" s="56" t="s">
        <v>845</v>
      </c>
      <c r="Y91" s="18" t="s">
        <v>843</v>
      </c>
      <c r="Z91" s="73">
        <v>0</v>
      </c>
      <c r="AA91" s="73">
        <v>726000</v>
      </c>
      <c r="AB91" s="73">
        <v>726000</v>
      </c>
      <c r="AC91" s="114">
        <v>301.18</v>
      </c>
      <c r="AD91" s="114">
        <f t="shared" ref="AD91:AD93" si="30">($Y$1*$AC91)*$N91</f>
        <v>408400.08</v>
      </c>
      <c r="AE91" s="114">
        <v>301.18</v>
      </c>
      <c r="AF91" s="114">
        <f t="shared" ref="AF91:AF93" si="31">($Y$1*$AC91)*$N91</f>
        <v>408400.08</v>
      </c>
    </row>
    <row r="92" spans="1:32" s="57" customFormat="1" x14ac:dyDescent="0.2">
      <c r="B92" s="12">
        <f>B91+1</f>
        <v>84</v>
      </c>
      <c r="C92" s="20" t="s">
        <v>22</v>
      </c>
      <c r="D92" s="20">
        <v>320000377</v>
      </c>
      <c r="E92" s="20" t="str">
        <f t="shared" si="20"/>
        <v>320000377</v>
      </c>
      <c r="F92" s="20" t="s">
        <v>11</v>
      </c>
      <c r="G92" s="20" t="s">
        <v>130</v>
      </c>
      <c r="H92" s="20" t="s">
        <v>441</v>
      </c>
      <c r="I92" s="20"/>
      <c r="J92" s="20" t="s">
        <v>131</v>
      </c>
      <c r="K92" s="20" t="s">
        <v>83</v>
      </c>
      <c r="L92" s="20"/>
      <c r="M92" s="20" t="s">
        <v>21</v>
      </c>
      <c r="N92" s="20">
        <v>1</v>
      </c>
      <c r="O92" s="20" t="s">
        <v>15</v>
      </c>
      <c r="P92" s="20"/>
      <c r="Q92" s="20" t="s">
        <v>395</v>
      </c>
      <c r="R92" s="20" t="s">
        <v>346</v>
      </c>
      <c r="S92" s="58" t="s">
        <v>766</v>
      </c>
      <c r="T92" s="59" t="s">
        <v>1238</v>
      </c>
      <c r="U92" s="59" t="s">
        <v>718</v>
      </c>
      <c r="V92" s="78" t="s">
        <v>899</v>
      </c>
      <c r="W92" s="59" t="s">
        <v>805</v>
      </c>
      <c r="X92" s="59" t="s">
        <v>839</v>
      </c>
      <c r="Y92" s="20" t="s">
        <v>843</v>
      </c>
      <c r="Z92" s="71">
        <v>0</v>
      </c>
      <c r="AA92" s="71">
        <v>400000</v>
      </c>
      <c r="AB92" s="71">
        <v>400000</v>
      </c>
      <c r="AC92" s="113">
        <v>168.25</v>
      </c>
      <c r="AD92" s="113">
        <f t="shared" si="30"/>
        <v>228147</v>
      </c>
      <c r="AE92" s="113">
        <v>168.25</v>
      </c>
      <c r="AF92" s="113">
        <f t="shared" si="31"/>
        <v>228147</v>
      </c>
    </row>
    <row r="93" spans="1:32" s="57" customFormat="1" ht="54" x14ac:dyDescent="0.2">
      <c r="B93" s="19">
        <f>B92+1</f>
        <v>85</v>
      </c>
      <c r="C93" s="18" t="s">
        <v>22</v>
      </c>
      <c r="D93" s="18">
        <v>340001871</v>
      </c>
      <c r="E93" s="20" t="str">
        <f t="shared" si="20"/>
        <v>340001871</v>
      </c>
      <c r="F93" s="18" t="s">
        <v>11</v>
      </c>
      <c r="G93" s="18" t="s">
        <v>495</v>
      </c>
      <c r="H93" s="18" t="s">
        <v>442</v>
      </c>
      <c r="I93" s="18" t="s">
        <v>512</v>
      </c>
      <c r="J93" s="18" t="s">
        <v>389</v>
      </c>
      <c r="K93" s="18" t="s">
        <v>76</v>
      </c>
      <c r="L93" s="18"/>
      <c r="M93" s="18" t="s">
        <v>18</v>
      </c>
      <c r="N93" s="18">
        <v>2</v>
      </c>
      <c r="O93" s="18" t="s">
        <v>38</v>
      </c>
      <c r="P93" s="18"/>
      <c r="Q93" s="18" t="s">
        <v>395</v>
      </c>
      <c r="R93" s="18" t="s">
        <v>346</v>
      </c>
      <c r="S93" s="55" t="s">
        <v>767</v>
      </c>
      <c r="T93" s="56" t="s">
        <v>1240</v>
      </c>
      <c r="U93" s="56" t="s">
        <v>720</v>
      </c>
      <c r="V93" s="76" t="s">
        <v>987</v>
      </c>
      <c r="W93" s="56" t="s">
        <v>805</v>
      </c>
      <c r="X93" s="56" t="s">
        <v>840</v>
      </c>
      <c r="Y93" s="18" t="s">
        <v>843</v>
      </c>
      <c r="Z93" s="73">
        <v>83998.5</v>
      </c>
      <c r="AA93" s="73">
        <v>132000</v>
      </c>
      <c r="AB93" s="73">
        <v>264000</v>
      </c>
      <c r="AC93" s="114">
        <v>56.15</v>
      </c>
      <c r="AD93" s="114">
        <f t="shared" si="30"/>
        <v>152278.79999999999</v>
      </c>
      <c r="AE93" s="114">
        <v>56.15</v>
      </c>
      <c r="AF93" s="114">
        <f t="shared" si="31"/>
        <v>152278.79999999999</v>
      </c>
    </row>
    <row r="94" spans="1:32" s="85" customFormat="1" ht="27" x14ac:dyDescent="0.2">
      <c r="A94" s="57"/>
      <c r="B94" s="54">
        <f>B93+1</f>
        <v>86</v>
      </c>
      <c r="C94" s="53" t="s">
        <v>22</v>
      </c>
      <c r="D94" s="53">
        <v>3402049</v>
      </c>
      <c r="E94" s="29" t="str">
        <f t="shared" si="20"/>
        <v>3402049</v>
      </c>
      <c r="F94" s="53" t="s">
        <v>11</v>
      </c>
      <c r="G94" s="53" t="s">
        <v>60</v>
      </c>
      <c r="H94" s="53" t="e">
        <v>#N/A</v>
      </c>
      <c r="I94" s="53" t="s">
        <v>516</v>
      </c>
      <c r="J94" s="53" t="s">
        <v>105</v>
      </c>
      <c r="K94" s="53" t="s">
        <v>77</v>
      </c>
      <c r="L94" s="53"/>
      <c r="M94" s="53" t="s">
        <v>21</v>
      </c>
      <c r="N94" s="53">
        <v>1</v>
      </c>
      <c r="O94" s="53" t="s">
        <v>15</v>
      </c>
      <c r="P94" s="53"/>
      <c r="Q94" s="53" t="s">
        <v>395</v>
      </c>
      <c r="R94" s="53" t="s">
        <v>346</v>
      </c>
      <c r="S94" s="81" t="s">
        <v>748</v>
      </c>
      <c r="T94" s="82" t="s">
        <v>721</v>
      </c>
      <c r="U94" s="82" t="s">
        <v>720</v>
      </c>
      <c r="V94" s="83" t="s">
        <v>1000</v>
      </c>
      <c r="W94" s="82" t="s">
        <v>806</v>
      </c>
      <c r="X94" s="82" t="s">
        <v>841</v>
      </c>
      <c r="Y94" s="53" t="s">
        <v>717</v>
      </c>
      <c r="Z94" s="84">
        <v>0</v>
      </c>
      <c r="AA94" s="84">
        <v>68969</v>
      </c>
      <c r="AB94" s="84">
        <v>0</v>
      </c>
      <c r="AC94" s="84">
        <v>74000</v>
      </c>
      <c r="AD94" s="84">
        <v>0</v>
      </c>
      <c r="AE94" s="84">
        <v>74000</v>
      </c>
      <c r="AF94" s="84">
        <v>0</v>
      </c>
    </row>
    <row r="95" spans="1:32" s="57" customFormat="1" x14ac:dyDescent="0.2">
      <c r="A95" s="57" t="s">
        <v>1053</v>
      </c>
      <c r="B95" s="19" t="str">
        <f>"86-1"</f>
        <v>86-1</v>
      </c>
      <c r="C95" s="18">
        <v>2</v>
      </c>
      <c r="D95" s="18">
        <v>340216341</v>
      </c>
      <c r="E95" s="20" t="str">
        <f t="shared" si="20"/>
        <v>340216341</v>
      </c>
      <c r="F95" s="18"/>
      <c r="G95" s="18"/>
      <c r="H95" s="18" t="s">
        <v>506</v>
      </c>
      <c r="I95" s="18" t="s">
        <v>516</v>
      </c>
      <c r="J95" s="18" t="s">
        <v>514</v>
      </c>
      <c r="K95" s="18"/>
      <c r="L95" s="18"/>
      <c r="M95" s="18"/>
      <c r="N95" s="18">
        <v>1</v>
      </c>
      <c r="O95" s="18"/>
      <c r="P95" s="18"/>
      <c r="Q95" s="18"/>
      <c r="R95" s="18"/>
      <c r="S95" s="55" t="s">
        <v>1029</v>
      </c>
      <c r="T95" s="56" t="s">
        <v>1030</v>
      </c>
      <c r="U95" s="56" t="s">
        <v>1028</v>
      </c>
      <c r="V95" s="76" t="s">
        <v>1031</v>
      </c>
      <c r="W95" s="56" t="s">
        <v>806</v>
      </c>
      <c r="X95" s="56"/>
      <c r="Y95" s="18" t="s">
        <v>1032</v>
      </c>
      <c r="Z95" s="73"/>
      <c r="AA95" s="73">
        <v>86894</v>
      </c>
      <c r="AB95" s="73">
        <f>AA95*N95</f>
        <v>86894</v>
      </c>
      <c r="AC95" s="73">
        <v>108144</v>
      </c>
      <c r="AD95" s="73">
        <f t="shared" ref="AD95:AD96" si="32">$AC95*$N95</f>
        <v>108144</v>
      </c>
      <c r="AE95" s="73">
        <v>118900</v>
      </c>
      <c r="AF95" s="73">
        <f t="shared" ref="AF95:AF96" si="33">$AE95*$N95</f>
        <v>118900</v>
      </c>
    </row>
    <row r="96" spans="1:32" s="57" customFormat="1" ht="27" x14ac:dyDescent="0.2">
      <c r="B96" s="12">
        <f>B94+1</f>
        <v>87</v>
      </c>
      <c r="C96" s="20" t="s">
        <v>22</v>
      </c>
      <c r="D96" s="20">
        <v>350001184</v>
      </c>
      <c r="E96" s="20" t="str">
        <f t="shared" si="20"/>
        <v>350001184</v>
      </c>
      <c r="F96" s="20" t="s">
        <v>11</v>
      </c>
      <c r="G96" s="20" t="s">
        <v>60</v>
      </c>
      <c r="H96" s="20" t="s">
        <v>422</v>
      </c>
      <c r="I96" s="20"/>
      <c r="J96" s="20" t="s">
        <v>108</v>
      </c>
      <c r="K96" s="20" t="s">
        <v>93</v>
      </c>
      <c r="L96" s="20"/>
      <c r="M96" s="20" t="s">
        <v>55</v>
      </c>
      <c r="N96" s="20">
        <v>4</v>
      </c>
      <c r="O96" s="20" t="s">
        <v>15</v>
      </c>
      <c r="P96" s="20"/>
      <c r="Q96" s="20" t="s">
        <v>395</v>
      </c>
      <c r="R96" s="20" t="s">
        <v>346</v>
      </c>
      <c r="S96" s="58" t="s">
        <v>749</v>
      </c>
      <c r="T96" s="59" t="s">
        <v>836</v>
      </c>
      <c r="U96" s="59" t="s">
        <v>720</v>
      </c>
      <c r="V96" s="78" t="s">
        <v>823</v>
      </c>
      <c r="W96" s="59" t="s">
        <v>804</v>
      </c>
      <c r="X96" s="59" t="s">
        <v>751</v>
      </c>
      <c r="Y96" s="20" t="s">
        <v>717</v>
      </c>
      <c r="Z96" s="71">
        <v>0</v>
      </c>
      <c r="AA96" s="71">
        <v>2470</v>
      </c>
      <c r="AB96" s="71">
        <v>4940</v>
      </c>
      <c r="AC96" s="71">
        <v>2470</v>
      </c>
      <c r="AD96" s="71">
        <f t="shared" si="32"/>
        <v>9880</v>
      </c>
      <c r="AE96" s="71">
        <v>2470</v>
      </c>
      <c r="AF96" s="71">
        <f t="shared" si="33"/>
        <v>9880</v>
      </c>
    </row>
    <row r="97" spans="1:32" s="57" customFormat="1" ht="27" x14ac:dyDescent="0.2">
      <c r="B97" s="12">
        <f t="shared" ref="B97:B106" si="34">B96+1</f>
        <v>88</v>
      </c>
      <c r="C97" s="20" t="s">
        <v>22</v>
      </c>
      <c r="D97" s="20">
        <v>430000724</v>
      </c>
      <c r="E97" s="20" t="str">
        <f t="shared" si="20"/>
        <v>430000724</v>
      </c>
      <c r="F97" s="20" t="s">
        <v>11</v>
      </c>
      <c r="G97" s="20" t="s">
        <v>109</v>
      </c>
      <c r="H97" s="20" t="s">
        <v>432</v>
      </c>
      <c r="I97" s="20"/>
      <c r="J97" s="20" t="s">
        <v>110</v>
      </c>
      <c r="K97" s="20" t="s">
        <v>14</v>
      </c>
      <c r="L97" s="20"/>
      <c r="M97" s="20" t="s">
        <v>55</v>
      </c>
      <c r="N97" s="20">
        <v>4</v>
      </c>
      <c r="O97" s="20" t="s">
        <v>15</v>
      </c>
      <c r="P97" s="20"/>
      <c r="Q97" s="20" t="s">
        <v>395</v>
      </c>
      <c r="R97" s="20" t="s">
        <v>346</v>
      </c>
      <c r="S97" s="58" t="s">
        <v>750</v>
      </c>
      <c r="T97" s="59" t="s">
        <v>1238</v>
      </c>
      <c r="U97" s="59" t="s">
        <v>720</v>
      </c>
      <c r="V97" s="78" t="s">
        <v>989</v>
      </c>
      <c r="W97" s="59" t="s">
        <v>805</v>
      </c>
      <c r="X97" s="59" t="s">
        <v>840</v>
      </c>
      <c r="Y97" s="20" t="s">
        <v>843</v>
      </c>
      <c r="Z97" s="71">
        <v>0</v>
      </c>
      <c r="AA97" s="71">
        <v>75000</v>
      </c>
      <c r="AB97" s="71">
        <v>150000</v>
      </c>
      <c r="AC97" s="113">
        <v>23.08</v>
      </c>
      <c r="AD97" s="113">
        <f>($Y$1*$AC97)*$N97</f>
        <v>125185.91999999998</v>
      </c>
      <c r="AE97" s="113">
        <v>23.08</v>
      </c>
      <c r="AF97" s="113">
        <f>($Y$1*$AC97)*$N97</f>
        <v>125185.91999999998</v>
      </c>
    </row>
    <row r="98" spans="1:32" s="57" customFormat="1" x14ac:dyDescent="0.2">
      <c r="B98" s="12">
        <f t="shared" si="34"/>
        <v>89</v>
      </c>
      <c r="C98" s="20" t="s">
        <v>22</v>
      </c>
      <c r="D98" s="20" t="s">
        <v>368</v>
      </c>
      <c r="E98" s="20" t="str">
        <f t="shared" si="20"/>
        <v>44S0093</v>
      </c>
      <c r="F98" s="20" t="s">
        <v>11</v>
      </c>
      <c r="G98" s="20" t="s">
        <v>111</v>
      </c>
      <c r="H98" s="20" t="s">
        <v>433</v>
      </c>
      <c r="I98" s="20"/>
      <c r="J98" s="20" t="s">
        <v>112</v>
      </c>
      <c r="K98" s="20" t="s">
        <v>14</v>
      </c>
      <c r="L98" s="20"/>
      <c r="M98" s="20" t="s">
        <v>132</v>
      </c>
      <c r="N98" s="20">
        <v>8</v>
      </c>
      <c r="O98" s="20" t="s">
        <v>15</v>
      </c>
      <c r="P98" s="20"/>
      <c r="Q98" s="20" t="s">
        <v>395</v>
      </c>
      <c r="R98" s="20" t="s">
        <v>346</v>
      </c>
      <c r="S98" s="58" t="s">
        <v>747</v>
      </c>
      <c r="T98" s="59" t="s">
        <v>1238</v>
      </c>
      <c r="U98" s="59" t="s">
        <v>718</v>
      </c>
      <c r="V98" s="78" t="s">
        <v>1046</v>
      </c>
      <c r="W98" s="59" t="s">
        <v>805</v>
      </c>
      <c r="X98" s="59" t="s">
        <v>840</v>
      </c>
      <c r="Y98" s="20" t="s">
        <v>843</v>
      </c>
      <c r="Z98" s="71">
        <v>0</v>
      </c>
      <c r="AA98" s="71">
        <v>400</v>
      </c>
      <c r="AB98" s="71">
        <v>400</v>
      </c>
      <c r="AC98" s="113">
        <v>9.4700000000000006</v>
      </c>
      <c r="AD98" s="113">
        <v>0</v>
      </c>
      <c r="AE98" s="113">
        <v>9.4700000000000006</v>
      </c>
      <c r="AF98" s="113">
        <v>0</v>
      </c>
    </row>
    <row r="99" spans="1:32" s="57" customFormat="1" x14ac:dyDescent="0.2">
      <c r="B99" s="12">
        <f t="shared" si="34"/>
        <v>90</v>
      </c>
      <c r="C99" s="20" t="s">
        <v>22</v>
      </c>
      <c r="D99" s="20">
        <v>9200106</v>
      </c>
      <c r="E99" s="20" t="str">
        <f t="shared" si="20"/>
        <v>9200106</v>
      </c>
      <c r="F99" s="20" t="s">
        <v>11</v>
      </c>
      <c r="G99" s="20" t="s">
        <v>113</v>
      </c>
      <c r="H99" s="20" t="s">
        <v>434</v>
      </c>
      <c r="I99" s="20"/>
      <c r="J99" s="20" t="s">
        <v>114</v>
      </c>
      <c r="K99" s="20" t="s">
        <v>133</v>
      </c>
      <c r="L99" s="20"/>
      <c r="M99" s="20" t="s">
        <v>25</v>
      </c>
      <c r="N99" s="20">
        <v>0</v>
      </c>
      <c r="O99" s="20" t="s">
        <v>15</v>
      </c>
      <c r="P99" s="20"/>
      <c r="Q99" s="20" t="s">
        <v>395</v>
      </c>
      <c r="R99" s="20" t="s">
        <v>346</v>
      </c>
      <c r="S99" s="58" t="s">
        <v>728</v>
      </c>
      <c r="T99" s="59" t="s">
        <v>738</v>
      </c>
      <c r="U99" s="59" t="s">
        <v>719</v>
      </c>
      <c r="V99" s="78" t="s">
        <v>824</v>
      </c>
      <c r="W99" s="59" t="s">
        <v>735</v>
      </c>
      <c r="X99" s="59" t="s">
        <v>842</v>
      </c>
      <c r="Y99" s="20" t="s">
        <v>717</v>
      </c>
      <c r="Z99" s="71">
        <v>0</v>
      </c>
      <c r="AA99" s="71">
        <v>28800</v>
      </c>
      <c r="AB99" s="71">
        <v>0</v>
      </c>
      <c r="AC99" s="71">
        <v>28800</v>
      </c>
      <c r="AD99" s="71">
        <v>0</v>
      </c>
      <c r="AE99" s="71">
        <v>28800</v>
      </c>
      <c r="AF99" s="71">
        <v>0</v>
      </c>
    </row>
    <row r="100" spans="1:32" s="57" customFormat="1" x14ac:dyDescent="0.2">
      <c r="B100" s="19">
        <f t="shared" si="34"/>
        <v>91</v>
      </c>
      <c r="C100" s="18" t="s">
        <v>16</v>
      </c>
      <c r="D100" s="18">
        <v>110144610</v>
      </c>
      <c r="E100" s="20" t="str">
        <f t="shared" si="20"/>
        <v>110144610</v>
      </c>
      <c r="F100" s="18" t="s">
        <v>11</v>
      </c>
      <c r="G100" s="27" t="s">
        <v>134</v>
      </c>
      <c r="H100" s="27" t="s">
        <v>443</v>
      </c>
      <c r="I100" s="27" t="s">
        <v>523</v>
      </c>
      <c r="J100" s="18" t="s">
        <v>135</v>
      </c>
      <c r="K100" s="18" t="s">
        <v>14</v>
      </c>
      <c r="L100" s="18"/>
      <c r="M100" s="18" t="s">
        <v>21</v>
      </c>
      <c r="N100" s="18">
        <v>1</v>
      </c>
      <c r="O100" s="18" t="s">
        <v>38</v>
      </c>
      <c r="P100" s="18"/>
      <c r="Q100" s="18" t="s">
        <v>354</v>
      </c>
      <c r="R100" s="18" t="s">
        <v>354</v>
      </c>
      <c r="S100" s="55" t="s">
        <v>712</v>
      </c>
      <c r="T100" s="56" t="s">
        <v>712</v>
      </c>
      <c r="U100" s="56" t="s">
        <v>712</v>
      </c>
      <c r="V100" s="76" t="s">
        <v>713</v>
      </c>
      <c r="W100" s="56" t="s">
        <v>807</v>
      </c>
      <c r="X100" s="56" t="s">
        <v>712</v>
      </c>
      <c r="Y100" s="18" t="s">
        <v>717</v>
      </c>
      <c r="Z100" s="73">
        <v>0</v>
      </c>
      <c r="AA100" s="73">
        <v>0</v>
      </c>
      <c r="AB100" s="73">
        <v>0</v>
      </c>
      <c r="AC100" s="73">
        <v>0</v>
      </c>
      <c r="AD100" s="73">
        <v>0</v>
      </c>
      <c r="AE100" s="73">
        <v>0</v>
      </c>
      <c r="AF100" s="73">
        <v>0</v>
      </c>
    </row>
    <row r="101" spans="1:32" s="57" customFormat="1" ht="81" x14ac:dyDescent="0.2">
      <c r="B101" s="12">
        <f t="shared" si="34"/>
        <v>92</v>
      </c>
      <c r="C101" s="20" t="s">
        <v>22</v>
      </c>
      <c r="D101" s="20">
        <v>170168748</v>
      </c>
      <c r="E101" s="20" t="str">
        <f t="shared" si="20"/>
        <v>170168748</v>
      </c>
      <c r="F101" s="20" t="s">
        <v>11</v>
      </c>
      <c r="G101" s="20" t="s">
        <v>29</v>
      </c>
      <c r="H101" s="20" t="s">
        <v>439</v>
      </c>
      <c r="I101" s="20"/>
      <c r="J101" s="20" t="s">
        <v>126</v>
      </c>
      <c r="K101" s="20" t="s">
        <v>127</v>
      </c>
      <c r="L101" s="20"/>
      <c r="M101" s="20" t="s">
        <v>21</v>
      </c>
      <c r="N101" s="20">
        <v>1</v>
      </c>
      <c r="O101" s="20" t="s">
        <v>38</v>
      </c>
      <c r="P101" s="20"/>
      <c r="Q101" s="20" t="s">
        <v>395</v>
      </c>
      <c r="R101" s="20" t="s">
        <v>396</v>
      </c>
      <c r="S101" s="58" t="s">
        <v>763</v>
      </c>
      <c r="T101" s="59" t="s">
        <v>792</v>
      </c>
      <c r="U101" s="59" t="s">
        <v>733</v>
      </c>
      <c r="V101" s="78" t="s">
        <v>990</v>
      </c>
      <c r="W101" s="59" t="s">
        <v>734</v>
      </c>
      <c r="X101" s="59" t="s">
        <v>797</v>
      </c>
      <c r="Y101" s="20" t="s">
        <v>717</v>
      </c>
      <c r="Z101" s="71">
        <v>190138.5</v>
      </c>
      <c r="AA101" s="71">
        <v>211500</v>
      </c>
      <c r="AB101" s="71">
        <v>211500</v>
      </c>
      <c r="AC101" s="71">
        <v>211500</v>
      </c>
      <c r="AD101" s="71">
        <f t="shared" ref="AD101:AD102" si="35">$AC101*$N101</f>
        <v>211500</v>
      </c>
      <c r="AE101" s="71">
        <v>211500</v>
      </c>
      <c r="AF101" s="71">
        <f t="shared" ref="AF101:AF102" si="36">$AE101*$N101</f>
        <v>211500</v>
      </c>
    </row>
    <row r="102" spans="1:32" s="57" customFormat="1" ht="40.5" x14ac:dyDescent="0.2">
      <c r="B102" s="12">
        <f t="shared" si="34"/>
        <v>93</v>
      </c>
      <c r="C102" s="20" t="s">
        <v>22</v>
      </c>
      <c r="D102" s="20">
        <v>170168750</v>
      </c>
      <c r="E102" s="20" t="str">
        <f t="shared" si="20"/>
        <v>170168750</v>
      </c>
      <c r="F102" s="20" t="s">
        <v>11</v>
      </c>
      <c r="G102" s="20" t="s">
        <v>60</v>
      </c>
      <c r="H102" s="20" t="s">
        <v>422</v>
      </c>
      <c r="I102" s="20"/>
      <c r="J102" s="20" t="s">
        <v>136</v>
      </c>
      <c r="K102" s="20" t="s">
        <v>68</v>
      </c>
      <c r="L102" s="20"/>
      <c r="M102" s="20" t="s">
        <v>21</v>
      </c>
      <c r="N102" s="20">
        <v>1</v>
      </c>
      <c r="O102" s="20" t="s">
        <v>15</v>
      </c>
      <c r="P102" s="20"/>
      <c r="Q102" s="20" t="s">
        <v>395</v>
      </c>
      <c r="R102" s="20" t="s">
        <v>396</v>
      </c>
      <c r="S102" s="58" t="s">
        <v>768</v>
      </c>
      <c r="T102" s="59" t="s">
        <v>792</v>
      </c>
      <c r="U102" s="59" t="s">
        <v>733</v>
      </c>
      <c r="V102" s="78" t="s">
        <v>991</v>
      </c>
      <c r="W102" s="59" t="s">
        <v>734</v>
      </c>
      <c r="X102" s="59" t="s">
        <v>797</v>
      </c>
      <c r="Y102" s="20" t="s">
        <v>717</v>
      </c>
      <c r="Z102" s="71">
        <v>0</v>
      </c>
      <c r="AA102" s="71">
        <v>121500</v>
      </c>
      <c r="AB102" s="71">
        <v>121500</v>
      </c>
      <c r="AC102" s="71">
        <v>121500</v>
      </c>
      <c r="AD102" s="71">
        <f t="shared" si="35"/>
        <v>121500</v>
      </c>
      <c r="AE102" s="71">
        <v>121500</v>
      </c>
      <c r="AF102" s="71">
        <f t="shared" si="36"/>
        <v>121500</v>
      </c>
    </row>
    <row r="103" spans="1:32" s="57" customFormat="1" ht="27" x14ac:dyDescent="0.2">
      <c r="B103" s="12">
        <f t="shared" si="34"/>
        <v>94</v>
      </c>
      <c r="C103" s="20" t="s">
        <v>22</v>
      </c>
      <c r="D103" s="20">
        <v>300000852</v>
      </c>
      <c r="E103" s="20" t="str">
        <f t="shared" si="20"/>
        <v>300000852</v>
      </c>
      <c r="F103" s="20" t="s">
        <v>11</v>
      </c>
      <c r="G103" s="20" t="s">
        <v>23</v>
      </c>
      <c r="H103" s="20" t="s">
        <v>440</v>
      </c>
      <c r="I103" s="20"/>
      <c r="J103" s="20" t="s">
        <v>129</v>
      </c>
      <c r="K103" s="20" t="s">
        <v>70</v>
      </c>
      <c r="L103" s="20"/>
      <c r="M103" s="20" t="s">
        <v>21</v>
      </c>
      <c r="N103" s="20">
        <v>1</v>
      </c>
      <c r="O103" s="20" t="s">
        <v>38</v>
      </c>
      <c r="P103" s="20"/>
      <c r="Q103" s="20" t="s">
        <v>395</v>
      </c>
      <c r="R103" s="20" t="s">
        <v>346</v>
      </c>
      <c r="S103" s="58" t="s">
        <v>765</v>
      </c>
      <c r="T103" s="59" t="s">
        <v>1238</v>
      </c>
      <c r="U103" s="59" t="s">
        <v>718</v>
      </c>
      <c r="V103" s="78" t="s">
        <v>986</v>
      </c>
      <c r="W103" s="59" t="s">
        <v>805</v>
      </c>
      <c r="X103" s="59" t="s">
        <v>845</v>
      </c>
      <c r="Y103" s="20" t="s">
        <v>843</v>
      </c>
      <c r="Z103" s="71">
        <v>0</v>
      </c>
      <c r="AA103" s="71">
        <v>726000</v>
      </c>
      <c r="AB103" s="71">
        <v>726000</v>
      </c>
      <c r="AC103" s="113">
        <v>301.18</v>
      </c>
      <c r="AD103" s="113">
        <f t="shared" ref="AD103:AD105" si="37">($Y$1*$AC103)*$N103</f>
        <v>408400.08</v>
      </c>
      <c r="AE103" s="113">
        <v>301.18</v>
      </c>
      <c r="AF103" s="113">
        <f t="shared" ref="AF103:AF105" si="38">($Y$1*$AC103)*$N103</f>
        <v>408400.08</v>
      </c>
    </row>
    <row r="104" spans="1:32" s="57" customFormat="1" x14ac:dyDescent="0.2">
      <c r="B104" s="12">
        <f t="shared" si="34"/>
        <v>95</v>
      </c>
      <c r="C104" s="20" t="s">
        <v>22</v>
      </c>
      <c r="D104" s="20">
        <v>320000377</v>
      </c>
      <c r="E104" s="20" t="str">
        <f t="shared" si="20"/>
        <v>320000377</v>
      </c>
      <c r="F104" s="20" t="s">
        <v>11</v>
      </c>
      <c r="G104" s="20" t="s">
        <v>130</v>
      </c>
      <c r="H104" s="20" t="s">
        <v>441</v>
      </c>
      <c r="I104" s="20"/>
      <c r="J104" s="20" t="s">
        <v>131</v>
      </c>
      <c r="K104" s="20" t="s">
        <v>83</v>
      </c>
      <c r="L104" s="20"/>
      <c r="M104" s="20" t="s">
        <v>21</v>
      </c>
      <c r="N104" s="20">
        <v>1</v>
      </c>
      <c r="O104" s="20" t="s">
        <v>15</v>
      </c>
      <c r="P104" s="20"/>
      <c r="Q104" s="20" t="s">
        <v>353</v>
      </c>
      <c r="R104" s="20" t="s">
        <v>346</v>
      </c>
      <c r="S104" s="58" t="s">
        <v>766</v>
      </c>
      <c r="T104" s="59" t="s">
        <v>1238</v>
      </c>
      <c r="U104" s="59" t="s">
        <v>718</v>
      </c>
      <c r="V104" s="86" t="s">
        <v>992</v>
      </c>
      <c r="W104" s="59" t="s">
        <v>805</v>
      </c>
      <c r="X104" s="59" t="s">
        <v>839</v>
      </c>
      <c r="Y104" s="20" t="s">
        <v>843</v>
      </c>
      <c r="Z104" s="71">
        <v>0</v>
      </c>
      <c r="AA104" s="71">
        <v>400000</v>
      </c>
      <c r="AB104" s="71">
        <v>400000</v>
      </c>
      <c r="AC104" s="113">
        <v>168.25</v>
      </c>
      <c r="AD104" s="113">
        <f t="shared" si="37"/>
        <v>228147</v>
      </c>
      <c r="AE104" s="113">
        <v>168.25</v>
      </c>
      <c r="AF104" s="113">
        <f t="shared" si="38"/>
        <v>228147</v>
      </c>
    </row>
    <row r="105" spans="1:32" s="57" customFormat="1" ht="54" x14ac:dyDescent="0.2">
      <c r="B105" s="12">
        <f t="shared" si="34"/>
        <v>96</v>
      </c>
      <c r="C105" s="20" t="s">
        <v>22</v>
      </c>
      <c r="D105" s="20">
        <v>340001871</v>
      </c>
      <c r="E105" s="20" t="str">
        <f t="shared" si="20"/>
        <v>340001871</v>
      </c>
      <c r="F105" s="20" t="s">
        <v>11</v>
      </c>
      <c r="G105" s="20" t="s">
        <v>23</v>
      </c>
      <c r="H105" s="20" t="s">
        <v>442</v>
      </c>
      <c r="I105" s="20"/>
      <c r="J105" s="20" t="s">
        <v>369</v>
      </c>
      <c r="K105" s="20" t="s">
        <v>106</v>
      </c>
      <c r="L105" s="20"/>
      <c r="M105" s="20" t="s">
        <v>18</v>
      </c>
      <c r="N105" s="20">
        <v>2</v>
      </c>
      <c r="O105" s="20" t="s">
        <v>38</v>
      </c>
      <c r="P105" s="20"/>
      <c r="Q105" s="20" t="s">
        <v>395</v>
      </c>
      <c r="R105" s="20" t="s">
        <v>346</v>
      </c>
      <c r="S105" s="58" t="s">
        <v>767</v>
      </c>
      <c r="T105" s="59" t="s">
        <v>1240</v>
      </c>
      <c r="U105" s="59" t="s">
        <v>720</v>
      </c>
      <c r="V105" s="78" t="s">
        <v>993</v>
      </c>
      <c r="W105" s="59" t="s">
        <v>805</v>
      </c>
      <c r="X105" s="59" t="s">
        <v>840</v>
      </c>
      <c r="Y105" s="20" t="s">
        <v>843</v>
      </c>
      <c r="Z105" s="71">
        <v>83998.5</v>
      </c>
      <c r="AA105" s="71">
        <v>132000</v>
      </c>
      <c r="AB105" s="71">
        <v>264000</v>
      </c>
      <c r="AC105" s="113">
        <v>56.15</v>
      </c>
      <c r="AD105" s="113">
        <f t="shared" si="37"/>
        <v>152278.79999999999</v>
      </c>
      <c r="AE105" s="113">
        <v>56.15</v>
      </c>
      <c r="AF105" s="113">
        <f t="shared" si="38"/>
        <v>152278.79999999999</v>
      </c>
    </row>
    <row r="106" spans="1:32" s="85" customFormat="1" ht="27" x14ac:dyDescent="0.2">
      <c r="A106" s="57"/>
      <c r="B106" s="54">
        <f t="shared" si="34"/>
        <v>97</v>
      </c>
      <c r="C106" s="53" t="s">
        <v>22</v>
      </c>
      <c r="D106" s="53">
        <v>3402049</v>
      </c>
      <c r="E106" s="29" t="str">
        <f t="shared" si="20"/>
        <v>3402049</v>
      </c>
      <c r="F106" s="53" t="s">
        <v>11</v>
      </c>
      <c r="G106" s="53" t="s">
        <v>60</v>
      </c>
      <c r="H106" s="53" t="e">
        <v>#N/A</v>
      </c>
      <c r="I106" s="53" t="s">
        <v>516</v>
      </c>
      <c r="J106" s="53" t="s">
        <v>105</v>
      </c>
      <c r="K106" s="53" t="s">
        <v>76</v>
      </c>
      <c r="L106" s="53"/>
      <c r="M106" s="53" t="s">
        <v>21</v>
      </c>
      <c r="N106" s="53">
        <v>1</v>
      </c>
      <c r="O106" s="53" t="s">
        <v>15</v>
      </c>
      <c r="P106" s="53"/>
      <c r="Q106" s="53" t="s">
        <v>395</v>
      </c>
      <c r="R106" s="53" t="s">
        <v>346</v>
      </c>
      <c r="S106" s="81" t="s">
        <v>748</v>
      </c>
      <c r="T106" s="82" t="s">
        <v>721</v>
      </c>
      <c r="U106" s="82" t="s">
        <v>720</v>
      </c>
      <c r="V106" s="83" t="s">
        <v>822</v>
      </c>
      <c r="W106" s="82" t="s">
        <v>806</v>
      </c>
      <c r="X106" s="82" t="s">
        <v>841</v>
      </c>
      <c r="Y106" s="53" t="s">
        <v>717</v>
      </c>
      <c r="Z106" s="84">
        <v>0</v>
      </c>
      <c r="AA106" s="84">
        <v>68969</v>
      </c>
      <c r="AB106" s="84">
        <v>0</v>
      </c>
      <c r="AC106" s="84">
        <v>74000</v>
      </c>
      <c r="AD106" s="84">
        <v>0</v>
      </c>
      <c r="AE106" s="84">
        <v>74000</v>
      </c>
      <c r="AF106" s="84">
        <v>0</v>
      </c>
    </row>
    <row r="107" spans="1:32" s="57" customFormat="1" x14ac:dyDescent="0.2">
      <c r="A107" s="57" t="s">
        <v>1054</v>
      </c>
      <c r="B107" s="19" t="str">
        <f>"97-1"</f>
        <v>97-1</v>
      </c>
      <c r="C107" s="18">
        <v>2</v>
      </c>
      <c r="D107" s="18">
        <v>340216341</v>
      </c>
      <c r="E107" s="20" t="str">
        <f t="shared" si="20"/>
        <v>340216341</v>
      </c>
      <c r="F107" s="18"/>
      <c r="G107" s="18"/>
      <c r="H107" s="18" t="s">
        <v>506</v>
      </c>
      <c r="I107" s="18" t="s">
        <v>516</v>
      </c>
      <c r="J107" s="18" t="s">
        <v>514</v>
      </c>
      <c r="K107" s="18"/>
      <c r="L107" s="18"/>
      <c r="M107" s="18"/>
      <c r="N107" s="18">
        <v>1</v>
      </c>
      <c r="O107" s="18"/>
      <c r="P107" s="18"/>
      <c r="Q107" s="18"/>
      <c r="R107" s="18"/>
      <c r="S107" s="55" t="s">
        <v>1029</v>
      </c>
      <c r="T107" s="56" t="s">
        <v>1030</v>
      </c>
      <c r="U107" s="56" t="s">
        <v>1028</v>
      </c>
      <c r="V107" s="76" t="s">
        <v>1031</v>
      </c>
      <c r="W107" s="56" t="s">
        <v>806</v>
      </c>
      <c r="X107" s="56"/>
      <c r="Y107" s="18" t="s">
        <v>1033</v>
      </c>
      <c r="Z107" s="73"/>
      <c r="AA107" s="73">
        <v>86894</v>
      </c>
      <c r="AB107" s="73">
        <f>AA107*N107</f>
        <v>86894</v>
      </c>
      <c r="AC107" s="73">
        <v>108144</v>
      </c>
      <c r="AD107" s="73">
        <f t="shared" ref="AD107:AD108" si="39">$AC107*$N107</f>
        <v>108144</v>
      </c>
      <c r="AE107" s="73">
        <v>118900</v>
      </c>
      <c r="AF107" s="73">
        <f t="shared" ref="AF107:AF108" si="40">$AE107*$N107</f>
        <v>118900</v>
      </c>
    </row>
    <row r="108" spans="1:32" s="57" customFormat="1" ht="27" x14ac:dyDescent="0.2">
      <c r="B108" s="12">
        <f>B106+1</f>
        <v>98</v>
      </c>
      <c r="C108" s="20" t="s">
        <v>22</v>
      </c>
      <c r="D108" s="20">
        <v>350001184</v>
      </c>
      <c r="E108" s="20" t="str">
        <f t="shared" si="20"/>
        <v>350001184</v>
      </c>
      <c r="F108" s="20" t="s">
        <v>11</v>
      </c>
      <c r="G108" s="20" t="s">
        <v>60</v>
      </c>
      <c r="H108" s="20" t="s">
        <v>422</v>
      </c>
      <c r="I108" s="20"/>
      <c r="J108" s="20" t="s">
        <v>108</v>
      </c>
      <c r="K108" s="20" t="s">
        <v>77</v>
      </c>
      <c r="L108" s="20"/>
      <c r="M108" s="20" t="s">
        <v>55</v>
      </c>
      <c r="N108" s="20">
        <v>4</v>
      </c>
      <c r="O108" s="20" t="s">
        <v>15</v>
      </c>
      <c r="P108" s="20"/>
      <c r="Q108" s="20" t="s">
        <v>395</v>
      </c>
      <c r="R108" s="20" t="s">
        <v>346</v>
      </c>
      <c r="S108" s="58" t="s">
        <v>749</v>
      </c>
      <c r="T108" s="59" t="s">
        <v>836</v>
      </c>
      <c r="U108" s="59" t="s">
        <v>720</v>
      </c>
      <c r="V108" s="78" t="s">
        <v>823</v>
      </c>
      <c r="W108" s="59" t="s">
        <v>804</v>
      </c>
      <c r="X108" s="59" t="s">
        <v>751</v>
      </c>
      <c r="Y108" s="20" t="s">
        <v>717</v>
      </c>
      <c r="Z108" s="71">
        <v>0</v>
      </c>
      <c r="AA108" s="71">
        <v>2470</v>
      </c>
      <c r="AB108" s="71">
        <v>4940</v>
      </c>
      <c r="AC108" s="71">
        <v>2470</v>
      </c>
      <c r="AD108" s="71">
        <f t="shared" si="39"/>
        <v>9880</v>
      </c>
      <c r="AE108" s="71">
        <v>2470</v>
      </c>
      <c r="AF108" s="71">
        <f t="shared" si="40"/>
        <v>9880</v>
      </c>
    </row>
    <row r="109" spans="1:32" s="57" customFormat="1" ht="27" x14ac:dyDescent="0.2">
      <c r="B109" s="12">
        <f>B108+1</f>
        <v>99</v>
      </c>
      <c r="C109" s="20" t="s">
        <v>22</v>
      </c>
      <c r="D109" s="20">
        <v>430000724</v>
      </c>
      <c r="E109" s="20" t="str">
        <f t="shared" si="20"/>
        <v>430000724</v>
      </c>
      <c r="F109" s="20" t="s">
        <v>11</v>
      </c>
      <c r="G109" s="20" t="s">
        <v>109</v>
      </c>
      <c r="H109" s="20" t="s">
        <v>432</v>
      </c>
      <c r="I109" s="20"/>
      <c r="J109" s="20" t="s">
        <v>110</v>
      </c>
      <c r="K109" s="20" t="s">
        <v>14</v>
      </c>
      <c r="L109" s="20"/>
      <c r="M109" s="20" t="s">
        <v>55</v>
      </c>
      <c r="N109" s="20">
        <v>4</v>
      </c>
      <c r="O109" s="20" t="s">
        <v>15</v>
      </c>
      <c r="P109" s="20"/>
      <c r="Q109" s="20" t="s">
        <v>395</v>
      </c>
      <c r="R109" s="20" t="s">
        <v>346</v>
      </c>
      <c r="S109" s="58" t="s">
        <v>750</v>
      </c>
      <c r="T109" s="59" t="s">
        <v>1238</v>
      </c>
      <c r="U109" s="59" t="s">
        <v>720</v>
      </c>
      <c r="V109" s="78" t="s">
        <v>994</v>
      </c>
      <c r="W109" s="59" t="s">
        <v>805</v>
      </c>
      <c r="X109" s="59" t="s">
        <v>840</v>
      </c>
      <c r="Y109" s="20" t="s">
        <v>843</v>
      </c>
      <c r="Z109" s="71">
        <v>0</v>
      </c>
      <c r="AA109" s="71">
        <v>75000</v>
      </c>
      <c r="AB109" s="71">
        <v>150000</v>
      </c>
      <c r="AC109" s="113">
        <v>23.08</v>
      </c>
      <c r="AD109" s="113">
        <f>($Y$1*$AC109)*$N109</f>
        <v>125185.91999999998</v>
      </c>
      <c r="AE109" s="113">
        <v>23.08</v>
      </c>
      <c r="AF109" s="113">
        <f>($Y$1*$AC109)*$N109</f>
        <v>125185.91999999998</v>
      </c>
    </row>
    <row r="110" spans="1:32" s="57" customFormat="1" x14ac:dyDescent="0.2">
      <c r="B110" s="12">
        <f>B109+1</f>
        <v>100</v>
      </c>
      <c r="C110" s="20" t="s">
        <v>22</v>
      </c>
      <c r="D110" s="20" t="s">
        <v>367</v>
      </c>
      <c r="E110" s="20" t="str">
        <f t="shared" si="20"/>
        <v>44S0093</v>
      </c>
      <c r="F110" s="20" t="s">
        <v>11</v>
      </c>
      <c r="G110" s="20" t="s">
        <v>111</v>
      </c>
      <c r="H110" s="20" t="s">
        <v>433</v>
      </c>
      <c r="I110" s="20"/>
      <c r="J110" s="20" t="s">
        <v>112</v>
      </c>
      <c r="K110" s="20" t="s">
        <v>14</v>
      </c>
      <c r="L110" s="20"/>
      <c r="M110" s="20" t="s">
        <v>132</v>
      </c>
      <c r="N110" s="20">
        <v>8</v>
      </c>
      <c r="O110" s="20" t="s">
        <v>15</v>
      </c>
      <c r="P110" s="20"/>
      <c r="Q110" s="20" t="s">
        <v>395</v>
      </c>
      <c r="R110" s="20" t="s">
        <v>346</v>
      </c>
      <c r="S110" s="58" t="s">
        <v>747</v>
      </c>
      <c r="T110" s="59" t="s">
        <v>1240</v>
      </c>
      <c r="U110" s="59" t="s">
        <v>718</v>
      </c>
      <c r="V110" s="78" t="s">
        <v>1046</v>
      </c>
      <c r="W110" s="59" t="s">
        <v>805</v>
      </c>
      <c r="X110" s="59" t="s">
        <v>840</v>
      </c>
      <c r="Y110" s="20" t="s">
        <v>843</v>
      </c>
      <c r="Z110" s="71">
        <v>0</v>
      </c>
      <c r="AA110" s="71">
        <v>400</v>
      </c>
      <c r="AB110" s="71">
        <v>400</v>
      </c>
      <c r="AC110" s="113">
        <v>9.4700000000000006</v>
      </c>
      <c r="AD110" s="113">
        <v>0</v>
      </c>
      <c r="AE110" s="113">
        <v>9.4700000000000006</v>
      </c>
      <c r="AF110" s="113">
        <v>0</v>
      </c>
    </row>
    <row r="111" spans="1:32" s="57" customFormat="1" x14ac:dyDescent="0.25">
      <c r="B111" s="19" t="str">
        <f>"100-1"</f>
        <v>100-1</v>
      </c>
      <c r="C111" s="18">
        <v>2</v>
      </c>
      <c r="D111" s="46" t="s">
        <v>515</v>
      </c>
      <c r="E111" s="20" t="str">
        <f t="shared" si="20"/>
        <v>900000909</v>
      </c>
      <c r="F111" s="18" t="s">
        <v>11</v>
      </c>
      <c r="G111" s="18"/>
      <c r="H111" s="18" t="s">
        <v>506</v>
      </c>
      <c r="I111" s="18" t="s">
        <v>513</v>
      </c>
      <c r="J111" s="18" t="s">
        <v>521</v>
      </c>
      <c r="K111" s="18"/>
      <c r="L111" s="18"/>
      <c r="M111" s="18" t="s">
        <v>517</v>
      </c>
      <c r="N111" s="18"/>
      <c r="O111" s="18"/>
      <c r="P111" s="18"/>
      <c r="Q111" s="18"/>
      <c r="R111" s="18"/>
      <c r="S111" s="55"/>
      <c r="T111" s="56"/>
      <c r="U111" s="56"/>
      <c r="V111" s="76"/>
      <c r="W111" s="56"/>
      <c r="X111" s="56"/>
      <c r="Y111" s="18"/>
      <c r="Z111" s="73"/>
      <c r="AA111" s="73"/>
      <c r="AB111" s="73"/>
      <c r="AC111" s="73"/>
      <c r="AD111" s="73"/>
      <c r="AE111" s="73"/>
      <c r="AF111" s="73"/>
    </row>
    <row r="112" spans="1:32" s="57" customFormat="1" x14ac:dyDescent="0.2">
      <c r="B112" s="12">
        <f>B110+1</f>
        <v>101</v>
      </c>
      <c r="C112" s="20" t="s">
        <v>22</v>
      </c>
      <c r="D112" s="20">
        <v>9200106</v>
      </c>
      <c r="E112" s="20" t="str">
        <f t="shared" si="20"/>
        <v>9200106</v>
      </c>
      <c r="F112" s="20" t="s">
        <v>11</v>
      </c>
      <c r="G112" s="20" t="s">
        <v>113</v>
      </c>
      <c r="H112" s="20" t="s">
        <v>434</v>
      </c>
      <c r="I112" s="20"/>
      <c r="J112" s="20" t="s">
        <v>114</v>
      </c>
      <c r="K112" s="20" t="s">
        <v>90</v>
      </c>
      <c r="L112" s="20"/>
      <c r="M112" s="20" t="s">
        <v>25</v>
      </c>
      <c r="N112" s="20">
        <v>0</v>
      </c>
      <c r="O112" s="20" t="s">
        <v>15</v>
      </c>
      <c r="P112" s="20"/>
      <c r="Q112" s="20" t="s">
        <v>395</v>
      </c>
      <c r="R112" s="20" t="s">
        <v>346</v>
      </c>
      <c r="S112" s="58" t="s">
        <v>728</v>
      </c>
      <c r="T112" s="59" t="s">
        <v>738</v>
      </c>
      <c r="U112" s="59" t="s">
        <v>719</v>
      </c>
      <c r="V112" s="78" t="s">
        <v>824</v>
      </c>
      <c r="W112" s="59" t="s">
        <v>735</v>
      </c>
      <c r="X112" s="59" t="s">
        <v>842</v>
      </c>
      <c r="Y112" s="20" t="s">
        <v>717</v>
      </c>
      <c r="Z112" s="71">
        <v>0</v>
      </c>
      <c r="AA112" s="71">
        <v>28800</v>
      </c>
      <c r="AB112" s="71">
        <v>0</v>
      </c>
      <c r="AC112" s="71">
        <v>28800</v>
      </c>
      <c r="AD112" s="71">
        <v>0</v>
      </c>
      <c r="AE112" s="71">
        <v>28800</v>
      </c>
      <c r="AF112" s="71">
        <v>0</v>
      </c>
    </row>
    <row r="113" spans="1:32" s="57" customFormat="1" x14ac:dyDescent="0.2">
      <c r="B113" s="19">
        <f t="shared" ref="B113:B119" si="41">B112+1</f>
        <v>102</v>
      </c>
      <c r="C113" s="18" t="s">
        <v>16</v>
      </c>
      <c r="D113" s="18">
        <v>110144620</v>
      </c>
      <c r="E113" s="20" t="str">
        <f t="shared" si="20"/>
        <v>110144620</v>
      </c>
      <c r="F113" s="18" t="s">
        <v>11</v>
      </c>
      <c r="G113" s="27" t="s">
        <v>98</v>
      </c>
      <c r="H113" s="27" t="s">
        <v>443</v>
      </c>
      <c r="I113" s="27" t="s">
        <v>523</v>
      </c>
      <c r="J113" s="18" t="s">
        <v>137</v>
      </c>
      <c r="K113" s="18" t="s">
        <v>14</v>
      </c>
      <c r="L113" s="18"/>
      <c r="M113" s="18" t="s">
        <v>21</v>
      </c>
      <c r="N113" s="18">
        <v>1</v>
      </c>
      <c r="O113" s="18" t="s">
        <v>38</v>
      </c>
      <c r="P113" s="18"/>
      <c r="Q113" s="18" t="s">
        <v>354</v>
      </c>
      <c r="R113" s="18" t="s">
        <v>354</v>
      </c>
      <c r="S113" s="55" t="s">
        <v>712</v>
      </c>
      <c r="T113" s="56" t="s">
        <v>712</v>
      </c>
      <c r="U113" s="56" t="s">
        <v>712</v>
      </c>
      <c r="V113" s="76" t="s">
        <v>713</v>
      </c>
      <c r="W113" s="56" t="s">
        <v>807</v>
      </c>
      <c r="X113" s="56" t="s">
        <v>712</v>
      </c>
      <c r="Y113" s="18" t="s">
        <v>717</v>
      </c>
      <c r="Z113" s="73">
        <v>0</v>
      </c>
      <c r="AA113" s="73">
        <v>0</v>
      </c>
      <c r="AB113" s="73">
        <v>0</v>
      </c>
      <c r="AC113" s="73">
        <v>0</v>
      </c>
      <c r="AD113" s="73">
        <v>0</v>
      </c>
      <c r="AE113" s="73">
        <v>0</v>
      </c>
      <c r="AF113" s="73">
        <v>0</v>
      </c>
    </row>
    <row r="114" spans="1:32" s="57" customFormat="1" ht="40.5" x14ac:dyDescent="0.2">
      <c r="B114" s="12">
        <f t="shared" si="41"/>
        <v>103</v>
      </c>
      <c r="C114" s="20" t="s">
        <v>22</v>
      </c>
      <c r="D114" s="20">
        <v>170168746</v>
      </c>
      <c r="E114" s="20" t="str">
        <f t="shared" si="20"/>
        <v>170168746</v>
      </c>
      <c r="F114" s="20" t="s">
        <v>11</v>
      </c>
      <c r="G114" s="20" t="s">
        <v>60</v>
      </c>
      <c r="H114" s="20" t="s">
        <v>422</v>
      </c>
      <c r="I114" s="20"/>
      <c r="J114" s="20" t="s">
        <v>138</v>
      </c>
      <c r="K114" s="20" t="s">
        <v>68</v>
      </c>
      <c r="L114" s="20"/>
      <c r="M114" s="20" t="s">
        <v>21</v>
      </c>
      <c r="N114" s="20">
        <v>1</v>
      </c>
      <c r="O114" s="20" t="s">
        <v>15</v>
      </c>
      <c r="P114" s="20"/>
      <c r="Q114" s="20" t="s">
        <v>395</v>
      </c>
      <c r="R114" s="20" t="s">
        <v>396</v>
      </c>
      <c r="S114" s="58" t="s">
        <v>768</v>
      </c>
      <c r="T114" s="59" t="s">
        <v>792</v>
      </c>
      <c r="U114" s="59" t="s">
        <v>733</v>
      </c>
      <c r="V114" s="78" t="s">
        <v>995</v>
      </c>
      <c r="W114" s="59" t="s">
        <v>734</v>
      </c>
      <c r="X114" s="59" t="s">
        <v>797</v>
      </c>
      <c r="Y114" s="20" t="s">
        <v>717</v>
      </c>
      <c r="Z114" s="71">
        <v>0</v>
      </c>
      <c r="AA114" s="71">
        <v>122400</v>
      </c>
      <c r="AB114" s="71">
        <v>122400</v>
      </c>
      <c r="AC114" s="71">
        <v>122400</v>
      </c>
      <c r="AD114" s="71">
        <f t="shared" ref="AD114:AD115" si="42">$AC114*$N114</f>
        <v>122400</v>
      </c>
      <c r="AE114" s="71">
        <v>122400</v>
      </c>
      <c r="AF114" s="71">
        <f t="shared" ref="AF114:AF115" si="43">$AE114*$N114</f>
        <v>122400</v>
      </c>
    </row>
    <row r="115" spans="1:32" s="57" customFormat="1" ht="67.5" x14ac:dyDescent="0.2">
      <c r="B115" s="12">
        <f t="shared" si="41"/>
        <v>104</v>
      </c>
      <c r="C115" s="20" t="s">
        <v>22</v>
      </c>
      <c r="D115" s="20">
        <v>170168753</v>
      </c>
      <c r="E115" s="20" t="str">
        <f t="shared" si="20"/>
        <v>170168753</v>
      </c>
      <c r="F115" s="20" t="s">
        <v>11</v>
      </c>
      <c r="G115" s="20" t="s">
        <v>29</v>
      </c>
      <c r="H115" s="20" t="s">
        <v>412</v>
      </c>
      <c r="I115" s="20"/>
      <c r="J115" s="20" t="s">
        <v>139</v>
      </c>
      <c r="K115" s="20" t="s">
        <v>14</v>
      </c>
      <c r="L115" s="20"/>
      <c r="M115" s="20" t="s">
        <v>21</v>
      </c>
      <c r="N115" s="20">
        <v>1</v>
      </c>
      <c r="O115" s="20" t="s">
        <v>15</v>
      </c>
      <c r="P115" s="20"/>
      <c r="Q115" s="20" t="s">
        <v>395</v>
      </c>
      <c r="R115" s="20" t="s">
        <v>396</v>
      </c>
      <c r="S115" s="58" t="s">
        <v>769</v>
      </c>
      <c r="T115" s="59" t="s">
        <v>792</v>
      </c>
      <c r="U115" s="59" t="s">
        <v>733</v>
      </c>
      <c r="V115" s="78" t="s">
        <v>996</v>
      </c>
      <c r="W115" s="59" t="s">
        <v>734</v>
      </c>
      <c r="X115" s="59" t="s">
        <v>797</v>
      </c>
      <c r="Y115" s="20" t="s">
        <v>717</v>
      </c>
      <c r="Z115" s="71">
        <v>218312</v>
      </c>
      <c r="AA115" s="71">
        <v>220500</v>
      </c>
      <c r="AB115" s="71">
        <v>220500</v>
      </c>
      <c r="AC115" s="71">
        <v>220500</v>
      </c>
      <c r="AD115" s="71">
        <f t="shared" si="42"/>
        <v>220500</v>
      </c>
      <c r="AE115" s="71">
        <v>220500</v>
      </c>
      <c r="AF115" s="71">
        <f t="shared" si="43"/>
        <v>220500</v>
      </c>
    </row>
    <row r="116" spans="1:32" s="85" customFormat="1" x14ac:dyDescent="0.2">
      <c r="A116" s="57"/>
      <c r="B116" s="54">
        <f t="shared" si="41"/>
        <v>105</v>
      </c>
      <c r="C116" s="53" t="s">
        <v>22</v>
      </c>
      <c r="D116" s="53" t="s">
        <v>378</v>
      </c>
      <c r="E116" s="29" t="str">
        <f t="shared" si="20"/>
        <v>2001-0022-0011</v>
      </c>
      <c r="F116" s="53" t="s">
        <v>11</v>
      </c>
      <c r="G116" s="53" t="s">
        <v>23</v>
      </c>
      <c r="H116" s="53" t="e">
        <v>#N/A</v>
      </c>
      <c r="I116" s="50" t="s">
        <v>518</v>
      </c>
      <c r="J116" s="53" t="s">
        <v>388</v>
      </c>
      <c r="K116" s="53" t="s">
        <v>70</v>
      </c>
      <c r="L116" s="53"/>
      <c r="M116" s="53" t="s">
        <v>21</v>
      </c>
      <c r="N116" s="53">
        <v>1</v>
      </c>
      <c r="O116" s="53" t="s">
        <v>15</v>
      </c>
      <c r="P116" s="53"/>
      <c r="Q116" s="53" t="s">
        <v>395</v>
      </c>
      <c r="R116" s="53" t="s">
        <v>346</v>
      </c>
      <c r="S116" s="81" t="s">
        <v>770</v>
      </c>
      <c r="T116" s="82" t="s">
        <v>721</v>
      </c>
      <c r="U116" s="82" t="s">
        <v>712</v>
      </c>
      <c r="V116" s="83" t="s">
        <v>713</v>
      </c>
      <c r="W116" s="82" t="s">
        <v>770</v>
      </c>
      <c r="X116" s="82" t="s">
        <v>846</v>
      </c>
      <c r="Y116" s="53" t="s">
        <v>717</v>
      </c>
      <c r="Z116" s="84">
        <v>0</v>
      </c>
      <c r="AA116" s="84">
        <v>7840</v>
      </c>
      <c r="AB116" s="84">
        <v>0</v>
      </c>
      <c r="AC116" s="84">
        <v>7840</v>
      </c>
      <c r="AD116" s="84">
        <v>0</v>
      </c>
      <c r="AE116" s="84">
        <v>7840</v>
      </c>
      <c r="AF116" s="84">
        <v>0</v>
      </c>
    </row>
    <row r="117" spans="1:32" s="57" customFormat="1" x14ac:dyDescent="0.2">
      <c r="B117" s="12">
        <f t="shared" si="41"/>
        <v>106</v>
      </c>
      <c r="C117" s="20" t="s">
        <v>22</v>
      </c>
      <c r="D117" s="20">
        <v>300000069</v>
      </c>
      <c r="E117" s="20" t="str">
        <f t="shared" si="20"/>
        <v>300000069</v>
      </c>
      <c r="F117" s="20" t="s">
        <v>11</v>
      </c>
      <c r="G117" s="20" t="s">
        <v>141</v>
      </c>
      <c r="H117" s="20" t="s">
        <v>442</v>
      </c>
      <c r="I117" s="20"/>
      <c r="J117" s="20" t="s">
        <v>142</v>
      </c>
      <c r="K117" s="20" t="s">
        <v>83</v>
      </c>
      <c r="L117" s="20"/>
      <c r="M117" s="20" t="s">
        <v>21</v>
      </c>
      <c r="N117" s="20">
        <v>1</v>
      </c>
      <c r="O117" s="20" t="s">
        <v>15</v>
      </c>
      <c r="P117" s="20"/>
      <c r="Q117" s="20" t="s">
        <v>395</v>
      </c>
      <c r="R117" s="20" t="s">
        <v>346</v>
      </c>
      <c r="S117" s="58" t="s">
        <v>771</v>
      </c>
      <c r="T117" s="59" t="s">
        <v>836</v>
      </c>
      <c r="U117" s="59" t="s">
        <v>718</v>
      </c>
      <c r="V117" s="78" t="s">
        <v>900</v>
      </c>
      <c r="W117" s="59" t="s">
        <v>808</v>
      </c>
      <c r="X117" s="59" t="s">
        <v>751</v>
      </c>
      <c r="Y117" s="20" t="s">
        <v>717</v>
      </c>
      <c r="Z117" s="71">
        <v>0</v>
      </c>
      <c r="AA117" s="71">
        <v>442000</v>
      </c>
      <c r="AB117" s="71">
        <v>442000</v>
      </c>
      <c r="AC117" s="71">
        <v>361000</v>
      </c>
      <c r="AD117" s="71">
        <f>$AC117*$N117</f>
        <v>361000</v>
      </c>
      <c r="AE117" s="71">
        <v>361000</v>
      </c>
      <c r="AF117" s="71">
        <f>$AE117*$N117</f>
        <v>361000</v>
      </c>
    </row>
    <row r="118" spans="1:32" s="57" customFormat="1" x14ac:dyDescent="0.2">
      <c r="B118" s="12">
        <f t="shared" si="41"/>
        <v>107</v>
      </c>
      <c r="C118" s="20" t="s">
        <v>22</v>
      </c>
      <c r="D118" s="20">
        <v>320000363</v>
      </c>
      <c r="E118" s="20" t="str">
        <f t="shared" si="20"/>
        <v>320000363</v>
      </c>
      <c r="F118" s="20" t="s">
        <v>11</v>
      </c>
      <c r="G118" s="20" t="s">
        <v>29</v>
      </c>
      <c r="H118" s="20" t="s">
        <v>412</v>
      </c>
      <c r="I118" s="20"/>
      <c r="J118" s="20" t="s">
        <v>103</v>
      </c>
      <c r="K118" s="20" t="s">
        <v>106</v>
      </c>
      <c r="L118" s="20"/>
      <c r="M118" s="20" t="s">
        <v>21</v>
      </c>
      <c r="N118" s="20">
        <v>1</v>
      </c>
      <c r="O118" s="20" t="s">
        <v>15</v>
      </c>
      <c r="P118" s="20"/>
      <c r="Q118" s="20" t="s">
        <v>395</v>
      </c>
      <c r="R118" s="20" t="s">
        <v>346</v>
      </c>
      <c r="S118" s="58" t="s">
        <v>746</v>
      </c>
      <c r="T118" s="59" t="s">
        <v>1239</v>
      </c>
      <c r="U118" s="59" t="s">
        <v>801</v>
      </c>
      <c r="V118" s="78" t="s">
        <v>820</v>
      </c>
      <c r="W118" s="59" t="s">
        <v>805</v>
      </c>
      <c r="X118" s="59" t="s">
        <v>839</v>
      </c>
      <c r="Y118" s="20" t="s">
        <v>843</v>
      </c>
      <c r="Z118" s="71">
        <v>0</v>
      </c>
      <c r="AA118" s="71">
        <v>290000</v>
      </c>
      <c r="AB118" s="71">
        <v>290000</v>
      </c>
      <c r="AC118" s="113">
        <v>89.59</v>
      </c>
      <c r="AD118" s="113">
        <f>($Y$1*$AC118)*$N118</f>
        <v>121484.04000000001</v>
      </c>
      <c r="AE118" s="113">
        <v>89.59</v>
      </c>
      <c r="AF118" s="113">
        <f>($Y$1*$AC118)*$N118</f>
        <v>121484.04000000001</v>
      </c>
    </row>
    <row r="119" spans="1:32" s="57" customFormat="1" ht="54" x14ac:dyDescent="0.2">
      <c r="B119" s="12">
        <f t="shared" si="41"/>
        <v>108</v>
      </c>
      <c r="C119" s="20" t="s">
        <v>22</v>
      </c>
      <c r="D119" s="20">
        <v>340001643</v>
      </c>
      <c r="E119" s="20" t="str">
        <f t="shared" si="20"/>
        <v>340001643</v>
      </c>
      <c r="F119" s="20" t="s">
        <v>11</v>
      </c>
      <c r="G119" s="20" t="s">
        <v>23</v>
      </c>
      <c r="H119" s="20" t="s">
        <v>410</v>
      </c>
      <c r="I119" s="20"/>
      <c r="J119" s="20" t="s">
        <v>143</v>
      </c>
      <c r="K119" s="20" t="s">
        <v>76</v>
      </c>
      <c r="L119" s="20"/>
      <c r="M119" s="20" t="s">
        <v>21</v>
      </c>
      <c r="N119" s="20">
        <v>1</v>
      </c>
      <c r="O119" s="20" t="s">
        <v>15</v>
      </c>
      <c r="P119" s="20"/>
      <c r="Q119" s="20" t="s">
        <v>395</v>
      </c>
      <c r="R119" s="20" t="s">
        <v>346</v>
      </c>
      <c r="S119" s="58" t="s">
        <v>1041</v>
      </c>
      <c r="T119" s="59" t="s">
        <v>1242</v>
      </c>
      <c r="U119" s="59" t="s">
        <v>718</v>
      </c>
      <c r="V119" s="78" t="s">
        <v>998</v>
      </c>
      <c r="W119" s="59" t="s">
        <v>737</v>
      </c>
      <c r="X119" s="58" t="s">
        <v>1040</v>
      </c>
      <c r="Y119" s="20" t="s">
        <v>717</v>
      </c>
      <c r="Z119" s="71">
        <v>0</v>
      </c>
      <c r="AA119" s="71">
        <v>47000</v>
      </c>
      <c r="AB119" s="71">
        <v>47000</v>
      </c>
      <c r="AC119" s="71">
        <v>47000</v>
      </c>
      <c r="AD119" s="71">
        <f>$AC119*$N119</f>
        <v>47000</v>
      </c>
      <c r="AE119" s="71">
        <v>47000</v>
      </c>
      <c r="AF119" s="71">
        <f>$AE119*$N119</f>
        <v>47000</v>
      </c>
    </row>
    <row r="120" spans="1:32" s="57" customFormat="1" ht="54" x14ac:dyDescent="0.2">
      <c r="A120" s="57" t="s">
        <v>1051</v>
      </c>
      <c r="B120" s="19" t="s">
        <v>519</v>
      </c>
      <c r="C120" s="18" t="s">
        <v>22</v>
      </c>
      <c r="D120" s="18">
        <v>340001871</v>
      </c>
      <c r="E120" s="20" t="str">
        <f t="shared" si="20"/>
        <v>340001871</v>
      </c>
      <c r="F120" s="18" t="s">
        <v>11</v>
      </c>
      <c r="G120" s="18" t="s">
        <v>495</v>
      </c>
      <c r="H120" s="18" t="s">
        <v>442</v>
      </c>
      <c r="I120" s="18" t="s">
        <v>520</v>
      </c>
      <c r="J120" s="18" t="s">
        <v>369</v>
      </c>
      <c r="K120" s="18" t="s">
        <v>76</v>
      </c>
      <c r="L120" s="18"/>
      <c r="M120" s="18" t="s">
        <v>18</v>
      </c>
      <c r="N120" s="18">
        <v>2</v>
      </c>
      <c r="O120" s="18" t="s">
        <v>38</v>
      </c>
      <c r="P120" s="18"/>
      <c r="Q120" s="18" t="s">
        <v>346</v>
      </c>
      <c r="R120" s="18" t="s">
        <v>346</v>
      </c>
      <c r="S120" s="55" t="s">
        <v>767</v>
      </c>
      <c r="T120" s="56" t="s">
        <v>1238</v>
      </c>
      <c r="U120" s="56" t="s">
        <v>720</v>
      </c>
      <c r="V120" s="76" t="s">
        <v>997</v>
      </c>
      <c r="W120" s="56" t="s">
        <v>805</v>
      </c>
      <c r="X120" s="56" t="s">
        <v>840</v>
      </c>
      <c r="Y120" s="18" t="s">
        <v>843</v>
      </c>
      <c r="Z120" s="73">
        <v>83998.5</v>
      </c>
      <c r="AA120" s="73">
        <v>132000</v>
      </c>
      <c r="AB120" s="73">
        <v>264000</v>
      </c>
      <c r="AC120" s="114">
        <v>56.15</v>
      </c>
      <c r="AD120" s="114">
        <f t="shared" ref="AD120" si="44">($Y$1*$AC120)*$N120</f>
        <v>152278.79999999999</v>
      </c>
      <c r="AE120" s="114">
        <v>56.15</v>
      </c>
      <c r="AF120" s="114">
        <f t="shared" ref="AF120:AF121" si="45">($Y$1*$AC120)*$N120</f>
        <v>152278.79999999999</v>
      </c>
    </row>
    <row r="121" spans="1:32" s="57" customFormat="1" x14ac:dyDescent="0.2">
      <c r="B121" s="12">
        <f>B119+1</f>
        <v>109</v>
      </c>
      <c r="C121" s="20" t="s">
        <v>22</v>
      </c>
      <c r="D121" s="20">
        <v>340002212</v>
      </c>
      <c r="E121" s="20" t="str">
        <f t="shared" si="20"/>
        <v>340002212</v>
      </c>
      <c r="F121" s="20" t="s">
        <v>11</v>
      </c>
      <c r="G121" s="20" t="s">
        <v>23</v>
      </c>
      <c r="H121" s="20" t="s">
        <v>410</v>
      </c>
      <c r="I121" s="20"/>
      <c r="J121" s="20" t="s">
        <v>104</v>
      </c>
      <c r="K121" s="20" t="s">
        <v>77</v>
      </c>
      <c r="L121" s="20"/>
      <c r="M121" s="20" t="s">
        <v>18</v>
      </c>
      <c r="N121" s="20">
        <v>2</v>
      </c>
      <c r="O121" s="20" t="s">
        <v>15</v>
      </c>
      <c r="P121" s="20"/>
      <c r="Q121" s="20" t="s">
        <v>395</v>
      </c>
      <c r="R121" s="20" t="s">
        <v>346</v>
      </c>
      <c r="S121" s="58" t="s">
        <v>747</v>
      </c>
      <c r="T121" s="59" t="s">
        <v>1238</v>
      </c>
      <c r="U121" s="59" t="s">
        <v>720</v>
      </c>
      <c r="V121" s="78" t="s">
        <v>821</v>
      </c>
      <c r="W121" s="59" t="s">
        <v>805</v>
      </c>
      <c r="X121" s="59" t="s">
        <v>840</v>
      </c>
      <c r="Y121" s="20" t="s">
        <v>843</v>
      </c>
      <c r="Z121" s="71">
        <v>0</v>
      </c>
      <c r="AA121" s="71">
        <v>163000</v>
      </c>
      <c r="AB121" s="71">
        <v>326000</v>
      </c>
      <c r="AC121" s="113">
        <v>62.91</v>
      </c>
      <c r="AD121" s="113">
        <f t="shared" ref="AD121" si="46">($Y$1*$AC121)*$N121</f>
        <v>170611.91999999998</v>
      </c>
      <c r="AE121" s="113">
        <v>62.91</v>
      </c>
      <c r="AF121" s="113">
        <f t="shared" si="45"/>
        <v>170611.91999999998</v>
      </c>
    </row>
    <row r="122" spans="1:32" s="85" customFormat="1" ht="27" x14ac:dyDescent="0.2">
      <c r="A122" s="57"/>
      <c r="B122" s="54">
        <f>B121+1</f>
        <v>110</v>
      </c>
      <c r="C122" s="53" t="s">
        <v>22</v>
      </c>
      <c r="D122" s="53" t="s">
        <v>999</v>
      </c>
      <c r="E122" s="24" t="str">
        <f t="shared" si="20"/>
        <v>3400490
→ 340218502</v>
      </c>
      <c r="F122" s="53" t="s">
        <v>11</v>
      </c>
      <c r="G122" s="53" t="s">
        <v>56</v>
      </c>
      <c r="H122" s="53" t="e">
        <v>#N/A</v>
      </c>
      <c r="I122" s="53" t="s">
        <v>527</v>
      </c>
      <c r="J122" s="53" t="s">
        <v>144</v>
      </c>
      <c r="K122" s="53" t="s">
        <v>93</v>
      </c>
      <c r="L122" s="53"/>
      <c r="M122" s="53" t="s">
        <v>21</v>
      </c>
      <c r="N122" s="53">
        <v>1</v>
      </c>
      <c r="O122" s="53" t="s">
        <v>15</v>
      </c>
      <c r="P122" s="53"/>
      <c r="Q122" s="53" t="s">
        <v>395</v>
      </c>
      <c r="R122" s="53" t="s">
        <v>346</v>
      </c>
      <c r="S122" s="81" t="s">
        <v>1042</v>
      </c>
      <c r="T122" s="82" t="s">
        <v>738</v>
      </c>
      <c r="U122" s="82" t="s">
        <v>720</v>
      </c>
      <c r="V122" s="83" t="s">
        <v>901</v>
      </c>
      <c r="W122" s="82" t="s">
        <v>737</v>
      </c>
      <c r="X122" s="81" t="s">
        <v>1040</v>
      </c>
      <c r="Y122" s="53" t="s">
        <v>717</v>
      </c>
      <c r="Z122" s="84">
        <v>0</v>
      </c>
      <c r="AA122" s="84">
        <v>6800</v>
      </c>
      <c r="AB122" s="84">
        <v>0</v>
      </c>
      <c r="AC122" s="84">
        <v>6800</v>
      </c>
      <c r="AD122" s="84">
        <v>0</v>
      </c>
      <c r="AE122" s="84">
        <v>6800</v>
      </c>
      <c r="AF122" s="84">
        <v>0</v>
      </c>
    </row>
    <row r="123" spans="1:32" s="57" customFormat="1" ht="27" x14ac:dyDescent="0.2">
      <c r="B123" s="19" t="str">
        <f>"110-1"</f>
        <v>110-1</v>
      </c>
      <c r="C123" s="18">
        <v>2</v>
      </c>
      <c r="D123" s="18">
        <v>340218502</v>
      </c>
      <c r="E123" s="18"/>
      <c r="F123" s="18" t="s">
        <v>11</v>
      </c>
      <c r="G123" s="18"/>
      <c r="H123" s="18" t="s">
        <v>524</v>
      </c>
      <c r="I123" s="18" t="s">
        <v>527</v>
      </c>
      <c r="J123" s="18" t="s">
        <v>525</v>
      </c>
      <c r="K123" s="18"/>
      <c r="L123" s="18"/>
      <c r="M123" s="18"/>
      <c r="N123" s="18">
        <v>1</v>
      </c>
      <c r="O123" s="18" t="s">
        <v>15</v>
      </c>
      <c r="P123" s="18"/>
      <c r="Q123" s="18"/>
      <c r="R123" s="18"/>
      <c r="S123" s="55" t="s">
        <v>1037</v>
      </c>
      <c r="T123" s="56" t="s">
        <v>1241</v>
      </c>
      <c r="U123" s="56"/>
      <c r="V123" s="76" t="s">
        <v>1036</v>
      </c>
      <c r="W123" s="56" t="s">
        <v>737</v>
      </c>
      <c r="X123" s="55" t="s">
        <v>1040</v>
      </c>
      <c r="Y123" s="18" t="s">
        <v>717</v>
      </c>
      <c r="Z123" s="73">
        <v>0</v>
      </c>
      <c r="AA123" s="73">
        <v>6800</v>
      </c>
      <c r="AB123" s="73">
        <f>$N123*AA123</f>
        <v>6800</v>
      </c>
      <c r="AC123" s="73">
        <v>6800</v>
      </c>
      <c r="AD123" s="73">
        <f t="shared" ref="AD123:AD127" si="47">$AC123*$N123</f>
        <v>6800</v>
      </c>
      <c r="AE123" s="73">
        <v>6800</v>
      </c>
      <c r="AF123" s="73">
        <f t="shared" ref="AF123:AF127" si="48">$AE123*$N123</f>
        <v>6800</v>
      </c>
    </row>
    <row r="124" spans="1:32" s="57" customFormat="1" ht="40.5" x14ac:dyDescent="0.2">
      <c r="B124" s="12">
        <f>B122+1</f>
        <v>111</v>
      </c>
      <c r="C124" s="20" t="s">
        <v>22</v>
      </c>
      <c r="D124" s="20">
        <v>3400775</v>
      </c>
      <c r="E124" s="20" t="str">
        <f t="shared" ref="E124:E140" si="49">TRIM(D124)</f>
        <v>3400775</v>
      </c>
      <c r="F124" s="20" t="s">
        <v>11</v>
      </c>
      <c r="G124" s="20" t="s">
        <v>34</v>
      </c>
      <c r="H124" s="20" t="s">
        <v>418</v>
      </c>
      <c r="I124" s="20"/>
      <c r="J124" s="20" t="s">
        <v>145</v>
      </c>
      <c r="K124" s="20" t="s">
        <v>96</v>
      </c>
      <c r="L124" s="20"/>
      <c r="M124" s="20" t="s">
        <v>21</v>
      </c>
      <c r="N124" s="20">
        <v>1</v>
      </c>
      <c r="O124" s="20" t="s">
        <v>15</v>
      </c>
      <c r="P124" s="20"/>
      <c r="Q124" s="20" t="s">
        <v>395</v>
      </c>
      <c r="R124" s="20" t="s">
        <v>346</v>
      </c>
      <c r="S124" s="58" t="s">
        <v>1043</v>
      </c>
      <c r="T124" s="59" t="s">
        <v>738</v>
      </c>
      <c r="U124" s="59" t="s">
        <v>712</v>
      </c>
      <c r="V124" s="78" t="s">
        <v>1003</v>
      </c>
      <c r="W124" s="59" t="s">
        <v>737</v>
      </c>
      <c r="X124" s="58" t="s">
        <v>1040</v>
      </c>
      <c r="Y124" s="20" t="s">
        <v>717</v>
      </c>
      <c r="Z124" s="71">
        <v>0</v>
      </c>
      <c r="AA124" s="71">
        <v>10300</v>
      </c>
      <c r="AB124" s="71">
        <v>10300</v>
      </c>
      <c r="AC124" s="71">
        <v>10300</v>
      </c>
      <c r="AD124" s="71">
        <f t="shared" si="47"/>
        <v>10300</v>
      </c>
      <c r="AE124" s="71">
        <v>10300</v>
      </c>
      <c r="AF124" s="71">
        <f t="shared" si="48"/>
        <v>10300</v>
      </c>
    </row>
    <row r="125" spans="1:32" s="57" customFormat="1" ht="27" x14ac:dyDescent="0.2">
      <c r="B125" s="12">
        <f>B124+1</f>
        <v>112</v>
      </c>
      <c r="C125" s="20" t="s">
        <v>22</v>
      </c>
      <c r="D125" s="20">
        <v>3402049</v>
      </c>
      <c r="E125" s="20" t="str">
        <f t="shared" si="49"/>
        <v>3402049</v>
      </c>
      <c r="F125" s="20" t="s">
        <v>11</v>
      </c>
      <c r="G125" s="20" t="s">
        <v>60</v>
      </c>
      <c r="H125" s="20" t="e">
        <v>#N/A</v>
      </c>
      <c r="I125" s="20"/>
      <c r="J125" s="20" t="s">
        <v>105</v>
      </c>
      <c r="K125" s="20" t="s">
        <v>72</v>
      </c>
      <c r="L125" s="20"/>
      <c r="M125" s="20" t="s">
        <v>21</v>
      </c>
      <c r="N125" s="20">
        <v>1</v>
      </c>
      <c r="O125" s="20" t="s">
        <v>15</v>
      </c>
      <c r="P125" s="20"/>
      <c r="Q125" s="20" t="s">
        <v>395</v>
      </c>
      <c r="R125" s="20" t="s">
        <v>346</v>
      </c>
      <c r="S125" s="58" t="s">
        <v>748</v>
      </c>
      <c r="T125" s="59" t="s">
        <v>721</v>
      </c>
      <c r="U125" s="59" t="s">
        <v>720</v>
      </c>
      <c r="V125" s="78" t="s">
        <v>979</v>
      </c>
      <c r="W125" s="59" t="s">
        <v>806</v>
      </c>
      <c r="X125" s="59" t="s">
        <v>841</v>
      </c>
      <c r="Y125" s="20" t="s">
        <v>717</v>
      </c>
      <c r="Z125" s="71">
        <v>0</v>
      </c>
      <c r="AA125" s="71">
        <v>68969</v>
      </c>
      <c r="AB125" s="71">
        <f>AA125*N125</f>
        <v>68969</v>
      </c>
      <c r="AC125" s="71">
        <v>90219</v>
      </c>
      <c r="AD125" s="71">
        <f t="shared" si="47"/>
        <v>90219</v>
      </c>
      <c r="AE125" s="71">
        <v>74000</v>
      </c>
      <c r="AF125" s="71">
        <f t="shared" si="48"/>
        <v>74000</v>
      </c>
    </row>
    <row r="126" spans="1:32" s="57" customFormat="1" ht="40.5" x14ac:dyDescent="0.2">
      <c r="B126" s="12">
        <f>B125+1</f>
        <v>113</v>
      </c>
      <c r="C126" s="20" t="s">
        <v>22</v>
      </c>
      <c r="D126" s="20">
        <v>3402419</v>
      </c>
      <c r="E126" s="20" t="str">
        <f t="shared" si="49"/>
        <v>3402419</v>
      </c>
      <c r="F126" s="20" t="s">
        <v>11</v>
      </c>
      <c r="G126" s="20" t="s">
        <v>146</v>
      </c>
      <c r="H126" s="20" t="s">
        <v>444</v>
      </c>
      <c r="I126" s="59"/>
      <c r="J126" s="20" t="s">
        <v>147</v>
      </c>
      <c r="K126" s="20" t="s">
        <v>90</v>
      </c>
      <c r="L126" s="20"/>
      <c r="M126" s="20" t="s">
        <v>21</v>
      </c>
      <c r="N126" s="20">
        <v>1</v>
      </c>
      <c r="O126" s="20" t="s">
        <v>15</v>
      </c>
      <c r="P126" s="20"/>
      <c r="Q126" s="20" t="s">
        <v>395</v>
      </c>
      <c r="R126" s="20" t="s">
        <v>346</v>
      </c>
      <c r="S126" s="58" t="s">
        <v>1043</v>
      </c>
      <c r="T126" s="59" t="s">
        <v>738</v>
      </c>
      <c r="U126" s="59" t="s">
        <v>720</v>
      </c>
      <c r="V126" s="78" t="s">
        <v>1002</v>
      </c>
      <c r="W126" s="59" t="s">
        <v>737</v>
      </c>
      <c r="X126" s="58" t="s">
        <v>1040</v>
      </c>
      <c r="Y126" s="20" t="s">
        <v>717</v>
      </c>
      <c r="Z126" s="71">
        <v>0</v>
      </c>
      <c r="AA126" s="71">
        <v>17500</v>
      </c>
      <c r="AB126" s="71">
        <v>17500</v>
      </c>
      <c r="AC126" s="71">
        <v>17500</v>
      </c>
      <c r="AD126" s="71">
        <f t="shared" si="47"/>
        <v>17500</v>
      </c>
      <c r="AE126" s="71">
        <v>17500</v>
      </c>
      <c r="AF126" s="71">
        <f t="shared" si="48"/>
        <v>17500</v>
      </c>
    </row>
    <row r="127" spans="1:32" s="57" customFormat="1" ht="27" x14ac:dyDescent="0.2">
      <c r="B127" s="12">
        <f>B126+1</f>
        <v>114</v>
      </c>
      <c r="C127" s="20" t="s">
        <v>22</v>
      </c>
      <c r="D127" s="20">
        <v>350001184</v>
      </c>
      <c r="E127" s="20" t="str">
        <f t="shared" si="49"/>
        <v>350001184</v>
      </c>
      <c r="F127" s="20" t="s">
        <v>11</v>
      </c>
      <c r="G127" s="20" t="s">
        <v>60</v>
      </c>
      <c r="H127" s="20" t="s">
        <v>422</v>
      </c>
      <c r="I127" s="20"/>
      <c r="J127" s="20" t="s">
        <v>108</v>
      </c>
      <c r="K127" s="20" t="s">
        <v>133</v>
      </c>
      <c r="L127" s="20"/>
      <c r="M127" s="20" t="s">
        <v>18</v>
      </c>
      <c r="N127" s="20">
        <v>2</v>
      </c>
      <c r="O127" s="20" t="s">
        <v>15</v>
      </c>
      <c r="P127" s="20"/>
      <c r="Q127" s="20" t="s">
        <v>395</v>
      </c>
      <c r="R127" s="20" t="s">
        <v>346</v>
      </c>
      <c r="S127" s="58" t="s">
        <v>749</v>
      </c>
      <c r="T127" s="59" t="s">
        <v>836</v>
      </c>
      <c r="U127" s="59" t="s">
        <v>720</v>
      </c>
      <c r="V127" s="78" t="s">
        <v>823</v>
      </c>
      <c r="W127" s="59" t="s">
        <v>804</v>
      </c>
      <c r="X127" s="59" t="s">
        <v>751</v>
      </c>
      <c r="Y127" s="20" t="s">
        <v>717</v>
      </c>
      <c r="Z127" s="71">
        <v>0</v>
      </c>
      <c r="AA127" s="71">
        <v>2470</v>
      </c>
      <c r="AB127" s="71">
        <v>4940</v>
      </c>
      <c r="AC127" s="71">
        <v>2470</v>
      </c>
      <c r="AD127" s="71">
        <f t="shared" si="47"/>
        <v>4940</v>
      </c>
      <c r="AE127" s="71">
        <v>2470</v>
      </c>
      <c r="AF127" s="71">
        <f t="shared" si="48"/>
        <v>4940</v>
      </c>
    </row>
    <row r="128" spans="1:32" s="57" customFormat="1" ht="27" x14ac:dyDescent="0.2">
      <c r="B128" s="12">
        <f>B127+1</f>
        <v>115</v>
      </c>
      <c r="C128" s="20" t="s">
        <v>22</v>
      </c>
      <c r="D128" s="20">
        <v>430000724</v>
      </c>
      <c r="E128" s="20" t="str">
        <f t="shared" si="49"/>
        <v>430000724</v>
      </c>
      <c r="F128" s="20" t="s">
        <v>11</v>
      </c>
      <c r="G128" s="20" t="s">
        <v>109</v>
      </c>
      <c r="H128" s="20" t="s">
        <v>432</v>
      </c>
      <c r="I128" s="20"/>
      <c r="J128" s="20" t="s">
        <v>110</v>
      </c>
      <c r="K128" s="20" t="s">
        <v>14</v>
      </c>
      <c r="L128" s="20"/>
      <c r="M128" s="20" t="s">
        <v>18</v>
      </c>
      <c r="N128" s="20">
        <v>2</v>
      </c>
      <c r="O128" s="20" t="s">
        <v>15</v>
      </c>
      <c r="P128" s="20"/>
      <c r="Q128" s="20" t="s">
        <v>395</v>
      </c>
      <c r="R128" s="20" t="s">
        <v>346</v>
      </c>
      <c r="S128" s="58" t="s">
        <v>750</v>
      </c>
      <c r="T128" s="59" t="s">
        <v>1240</v>
      </c>
      <c r="U128" s="59" t="s">
        <v>720</v>
      </c>
      <c r="V128" s="78" t="s">
        <v>1004</v>
      </c>
      <c r="W128" s="59" t="s">
        <v>805</v>
      </c>
      <c r="X128" s="59" t="s">
        <v>840</v>
      </c>
      <c r="Y128" s="20" t="s">
        <v>843</v>
      </c>
      <c r="Z128" s="71">
        <v>0</v>
      </c>
      <c r="AA128" s="71">
        <v>75000</v>
      </c>
      <c r="AB128" s="71">
        <v>150000</v>
      </c>
      <c r="AC128" s="113">
        <v>23.08</v>
      </c>
      <c r="AD128" s="113">
        <f>($Y$1*$AC128)*$N128</f>
        <v>62592.959999999992</v>
      </c>
      <c r="AE128" s="113">
        <v>23.08</v>
      </c>
      <c r="AF128" s="113">
        <f>($Y$1*$AC128)*$N128</f>
        <v>62592.959999999992</v>
      </c>
    </row>
    <row r="129" spans="1:32" s="57" customFormat="1" x14ac:dyDescent="0.2">
      <c r="B129" s="12">
        <f>B128+1</f>
        <v>116</v>
      </c>
      <c r="C129" s="20" t="s">
        <v>22</v>
      </c>
      <c r="D129" s="20" t="s">
        <v>367</v>
      </c>
      <c r="E129" s="20" t="str">
        <f t="shared" si="49"/>
        <v>44S0093</v>
      </c>
      <c r="F129" s="20" t="s">
        <v>11</v>
      </c>
      <c r="G129" s="20" t="s">
        <v>111</v>
      </c>
      <c r="H129" s="20" t="s">
        <v>433</v>
      </c>
      <c r="I129" s="20"/>
      <c r="J129" s="20" t="s">
        <v>112</v>
      </c>
      <c r="K129" s="20" t="s">
        <v>14</v>
      </c>
      <c r="L129" s="20"/>
      <c r="M129" s="20" t="s">
        <v>55</v>
      </c>
      <c r="N129" s="20">
        <v>4</v>
      </c>
      <c r="O129" s="20" t="s">
        <v>15</v>
      </c>
      <c r="P129" s="20"/>
      <c r="Q129" s="20" t="s">
        <v>395</v>
      </c>
      <c r="R129" s="20" t="s">
        <v>346</v>
      </c>
      <c r="S129" s="58" t="s">
        <v>747</v>
      </c>
      <c r="T129" s="59" t="s">
        <v>1238</v>
      </c>
      <c r="U129" s="59" t="s">
        <v>718</v>
      </c>
      <c r="V129" s="78" t="s">
        <v>1046</v>
      </c>
      <c r="W129" s="59" t="s">
        <v>805</v>
      </c>
      <c r="X129" s="59" t="s">
        <v>840</v>
      </c>
      <c r="Y129" s="20" t="s">
        <v>843</v>
      </c>
      <c r="Z129" s="71">
        <v>0</v>
      </c>
      <c r="AA129" s="71">
        <v>400</v>
      </c>
      <c r="AB129" s="71">
        <v>400</v>
      </c>
      <c r="AC129" s="113">
        <v>9.4700000000000006</v>
      </c>
      <c r="AD129" s="113">
        <v>0</v>
      </c>
      <c r="AE129" s="113">
        <v>9.4700000000000006</v>
      </c>
      <c r="AF129" s="113">
        <v>0</v>
      </c>
    </row>
    <row r="130" spans="1:32" s="57" customFormat="1" x14ac:dyDescent="0.25">
      <c r="B130" s="19" t="str">
        <f>"116-1"</f>
        <v>116-1</v>
      </c>
      <c r="C130" s="18">
        <v>2</v>
      </c>
      <c r="D130" s="46" t="s">
        <v>515</v>
      </c>
      <c r="E130" s="20" t="str">
        <f t="shared" si="49"/>
        <v>900000909</v>
      </c>
      <c r="F130" s="18" t="s">
        <v>11</v>
      </c>
      <c r="G130" s="18"/>
      <c r="H130" s="18" t="s">
        <v>506</v>
      </c>
      <c r="I130" s="18" t="s">
        <v>513</v>
      </c>
      <c r="J130" s="18" t="s">
        <v>521</v>
      </c>
      <c r="K130" s="18"/>
      <c r="L130" s="18"/>
      <c r="M130" s="18" t="s">
        <v>517</v>
      </c>
      <c r="N130" s="18"/>
      <c r="O130" s="18"/>
      <c r="P130" s="18"/>
      <c r="Q130" s="18"/>
      <c r="R130" s="18"/>
      <c r="S130" s="55"/>
      <c r="T130" s="56"/>
      <c r="U130" s="56"/>
      <c r="V130" s="76"/>
      <c r="W130" s="56"/>
      <c r="X130" s="56"/>
      <c r="Y130" s="18"/>
      <c r="Z130" s="73"/>
      <c r="AA130" s="73"/>
      <c r="AB130" s="73"/>
      <c r="AC130" s="73"/>
      <c r="AD130" s="73"/>
      <c r="AE130" s="73"/>
      <c r="AF130" s="73"/>
    </row>
    <row r="131" spans="1:32" s="57" customFormat="1" x14ac:dyDescent="0.2">
      <c r="B131" s="12">
        <f>B129+1</f>
        <v>117</v>
      </c>
      <c r="C131" s="20" t="s">
        <v>22</v>
      </c>
      <c r="D131" s="20">
        <v>9200106</v>
      </c>
      <c r="E131" s="20" t="str">
        <f t="shared" si="49"/>
        <v>9200106</v>
      </c>
      <c r="F131" s="20" t="s">
        <v>11</v>
      </c>
      <c r="G131" s="20" t="s">
        <v>113</v>
      </c>
      <c r="H131" s="20" t="s">
        <v>434</v>
      </c>
      <c r="I131" s="20"/>
      <c r="J131" s="20" t="s">
        <v>114</v>
      </c>
      <c r="K131" s="20" t="s">
        <v>88</v>
      </c>
      <c r="L131" s="20"/>
      <c r="M131" s="20" t="s">
        <v>25</v>
      </c>
      <c r="N131" s="20">
        <v>0</v>
      </c>
      <c r="O131" s="20" t="s">
        <v>15</v>
      </c>
      <c r="P131" s="20"/>
      <c r="Q131" s="20" t="s">
        <v>395</v>
      </c>
      <c r="R131" s="20" t="s">
        <v>346</v>
      </c>
      <c r="S131" s="58" t="s">
        <v>728</v>
      </c>
      <c r="T131" s="59" t="s">
        <v>738</v>
      </c>
      <c r="U131" s="59" t="s">
        <v>719</v>
      </c>
      <c r="V131" s="78" t="s">
        <v>824</v>
      </c>
      <c r="W131" s="59" t="s">
        <v>735</v>
      </c>
      <c r="X131" s="59" t="s">
        <v>842</v>
      </c>
      <c r="Y131" s="20" t="s">
        <v>717</v>
      </c>
      <c r="Z131" s="71">
        <v>0</v>
      </c>
      <c r="AA131" s="71">
        <v>28800</v>
      </c>
      <c r="AB131" s="71">
        <v>0</v>
      </c>
      <c r="AC131" s="71">
        <v>28800</v>
      </c>
      <c r="AD131" s="71">
        <v>0</v>
      </c>
      <c r="AE131" s="71">
        <v>28800</v>
      </c>
      <c r="AF131" s="71">
        <v>0</v>
      </c>
    </row>
    <row r="132" spans="1:32" s="57" customFormat="1" x14ac:dyDescent="0.2">
      <c r="B132" s="19">
        <f t="shared" ref="B132:B137" si="50">B131+1</f>
        <v>118</v>
      </c>
      <c r="C132" s="18" t="s">
        <v>16</v>
      </c>
      <c r="D132" s="18">
        <v>110144630</v>
      </c>
      <c r="E132" s="18" t="str">
        <f t="shared" si="49"/>
        <v>110144630</v>
      </c>
      <c r="F132" s="18" t="s">
        <v>11</v>
      </c>
      <c r="G132" s="27" t="s">
        <v>98</v>
      </c>
      <c r="H132" s="27" t="s">
        <v>445</v>
      </c>
      <c r="I132" s="27" t="s">
        <v>523</v>
      </c>
      <c r="J132" s="18" t="s">
        <v>148</v>
      </c>
      <c r="K132" s="18" t="s">
        <v>14</v>
      </c>
      <c r="L132" s="18"/>
      <c r="M132" s="18" t="s">
        <v>21</v>
      </c>
      <c r="N132" s="18">
        <v>1</v>
      </c>
      <c r="O132" s="18" t="s">
        <v>38</v>
      </c>
      <c r="P132" s="18"/>
      <c r="Q132" s="18" t="s">
        <v>354</v>
      </c>
      <c r="R132" s="18" t="s">
        <v>354</v>
      </c>
      <c r="S132" s="55" t="s">
        <v>712</v>
      </c>
      <c r="T132" s="56" t="s">
        <v>712</v>
      </c>
      <c r="U132" s="56" t="s">
        <v>712</v>
      </c>
      <c r="V132" s="76" t="s">
        <v>716</v>
      </c>
      <c r="W132" s="56" t="s">
        <v>807</v>
      </c>
      <c r="X132" s="56" t="s">
        <v>712</v>
      </c>
      <c r="Y132" s="18" t="s">
        <v>717</v>
      </c>
      <c r="Z132" s="73">
        <v>0</v>
      </c>
      <c r="AA132" s="73">
        <v>0</v>
      </c>
      <c r="AB132" s="73">
        <v>0</v>
      </c>
      <c r="AC132" s="73">
        <v>0</v>
      </c>
      <c r="AD132" s="73">
        <v>0</v>
      </c>
      <c r="AE132" s="73">
        <v>0</v>
      </c>
      <c r="AF132" s="73">
        <v>0</v>
      </c>
    </row>
    <row r="133" spans="1:32" s="57" customFormat="1" ht="40.5" x14ac:dyDescent="0.2">
      <c r="B133" s="12">
        <f t="shared" si="50"/>
        <v>119</v>
      </c>
      <c r="C133" s="20" t="s">
        <v>22</v>
      </c>
      <c r="D133" s="20">
        <v>170168744</v>
      </c>
      <c r="E133" s="20" t="str">
        <f t="shared" si="49"/>
        <v>170168744</v>
      </c>
      <c r="F133" s="20" t="s">
        <v>11</v>
      </c>
      <c r="G133" s="20" t="s">
        <v>60</v>
      </c>
      <c r="H133" s="20" t="s">
        <v>422</v>
      </c>
      <c r="I133" s="20"/>
      <c r="J133" s="20" t="s">
        <v>149</v>
      </c>
      <c r="K133" s="20" t="s">
        <v>68</v>
      </c>
      <c r="L133" s="20"/>
      <c r="M133" s="20" t="s">
        <v>21</v>
      </c>
      <c r="N133" s="20">
        <v>1</v>
      </c>
      <c r="O133" s="20" t="s">
        <v>15</v>
      </c>
      <c r="P133" s="20"/>
      <c r="Q133" s="20" t="s">
        <v>395</v>
      </c>
      <c r="R133" s="20" t="s">
        <v>396</v>
      </c>
      <c r="S133" s="58" t="s">
        <v>768</v>
      </c>
      <c r="T133" s="59" t="s">
        <v>792</v>
      </c>
      <c r="U133" s="59" t="s">
        <v>733</v>
      </c>
      <c r="V133" s="78" t="s">
        <v>1005</v>
      </c>
      <c r="W133" s="59" t="s">
        <v>734</v>
      </c>
      <c r="X133" s="59" t="s">
        <v>797</v>
      </c>
      <c r="Y133" s="20" t="s">
        <v>717</v>
      </c>
      <c r="Z133" s="71">
        <v>0</v>
      </c>
      <c r="AA133" s="71">
        <v>99000</v>
      </c>
      <c r="AB133" s="71">
        <v>99000</v>
      </c>
      <c r="AC133" s="71">
        <v>99000</v>
      </c>
      <c r="AD133" s="71">
        <f t="shared" ref="AD133:AD134" si="51">$AC133*$N133</f>
        <v>99000</v>
      </c>
      <c r="AE133" s="71">
        <v>99000</v>
      </c>
      <c r="AF133" s="71">
        <f t="shared" ref="AF133:AF134" si="52">$AE133*$N133</f>
        <v>99000</v>
      </c>
    </row>
    <row r="134" spans="1:32" s="57" customFormat="1" ht="67.5" x14ac:dyDescent="0.2">
      <c r="B134" s="12">
        <f t="shared" si="50"/>
        <v>120</v>
      </c>
      <c r="C134" s="20" t="s">
        <v>22</v>
      </c>
      <c r="D134" s="20">
        <v>170168752</v>
      </c>
      <c r="E134" s="20" t="str">
        <f t="shared" si="49"/>
        <v>170168752</v>
      </c>
      <c r="F134" s="20" t="s">
        <v>11</v>
      </c>
      <c r="G134" s="20" t="s">
        <v>29</v>
      </c>
      <c r="H134" s="20" t="s">
        <v>412</v>
      </c>
      <c r="I134" s="20"/>
      <c r="J134" s="20" t="s">
        <v>150</v>
      </c>
      <c r="K134" s="20" t="s">
        <v>14</v>
      </c>
      <c r="L134" s="20"/>
      <c r="M134" s="20" t="s">
        <v>21</v>
      </c>
      <c r="N134" s="20">
        <v>1</v>
      </c>
      <c r="O134" s="20" t="s">
        <v>15</v>
      </c>
      <c r="P134" s="20"/>
      <c r="Q134" s="20" t="s">
        <v>395</v>
      </c>
      <c r="R134" s="20" t="s">
        <v>396</v>
      </c>
      <c r="S134" s="58" t="s">
        <v>1025</v>
      </c>
      <c r="T134" s="59" t="s">
        <v>792</v>
      </c>
      <c r="U134" s="59" t="s">
        <v>733</v>
      </c>
      <c r="V134" s="78" t="s">
        <v>1006</v>
      </c>
      <c r="W134" s="59" t="s">
        <v>734</v>
      </c>
      <c r="X134" s="59" t="s">
        <v>797</v>
      </c>
      <c r="Y134" s="20" t="s">
        <v>717</v>
      </c>
      <c r="Z134" s="71">
        <v>218312</v>
      </c>
      <c r="AA134" s="71">
        <v>218700</v>
      </c>
      <c r="AB134" s="71">
        <v>218700</v>
      </c>
      <c r="AC134" s="71">
        <v>218700</v>
      </c>
      <c r="AD134" s="71">
        <f t="shared" si="51"/>
        <v>218700</v>
      </c>
      <c r="AE134" s="71">
        <v>218700</v>
      </c>
      <c r="AF134" s="71">
        <f t="shared" si="52"/>
        <v>218700</v>
      </c>
    </row>
    <row r="135" spans="1:32" s="57" customFormat="1" x14ac:dyDescent="0.2">
      <c r="B135" s="49">
        <f t="shared" si="50"/>
        <v>121</v>
      </c>
      <c r="C135" s="50" t="s">
        <v>22</v>
      </c>
      <c r="D135" s="50" t="s">
        <v>379</v>
      </c>
      <c r="E135" s="4" t="str">
        <f t="shared" si="49"/>
        <v>2001-0022-0011</v>
      </c>
      <c r="F135" s="50" t="s">
        <v>11</v>
      </c>
      <c r="G135" s="50" t="s">
        <v>23</v>
      </c>
      <c r="H135" s="50" t="e">
        <v>#N/A</v>
      </c>
      <c r="I135" s="50" t="s">
        <v>526</v>
      </c>
      <c r="J135" s="50" t="s">
        <v>140</v>
      </c>
      <c r="K135" s="50" t="s">
        <v>70</v>
      </c>
      <c r="L135" s="50"/>
      <c r="M135" s="50" t="s">
        <v>21</v>
      </c>
      <c r="N135" s="50">
        <v>1</v>
      </c>
      <c r="O135" s="50" t="s">
        <v>15</v>
      </c>
      <c r="P135" s="50"/>
      <c r="Q135" s="50" t="s">
        <v>395</v>
      </c>
      <c r="R135" s="50" t="s">
        <v>346</v>
      </c>
      <c r="S135" s="51" t="s">
        <v>770</v>
      </c>
      <c r="T135" s="52" t="s">
        <v>721</v>
      </c>
      <c r="U135" s="52" t="s">
        <v>712</v>
      </c>
      <c r="V135" s="79" t="s">
        <v>713</v>
      </c>
      <c r="W135" s="52" t="s">
        <v>770</v>
      </c>
      <c r="X135" s="52" t="s">
        <v>846</v>
      </c>
      <c r="Y135" s="50" t="s">
        <v>717</v>
      </c>
      <c r="Z135" s="72">
        <v>0</v>
      </c>
      <c r="AA135" s="72">
        <v>7840</v>
      </c>
      <c r="AB135" s="72">
        <v>0</v>
      </c>
      <c r="AC135" s="72">
        <v>7840</v>
      </c>
      <c r="AD135" s="72">
        <v>0</v>
      </c>
      <c r="AE135" s="72">
        <v>7840</v>
      </c>
      <c r="AF135" s="72">
        <v>0</v>
      </c>
    </row>
    <row r="136" spans="1:32" s="57" customFormat="1" x14ac:dyDescent="0.2">
      <c r="B136" s="12">
        <f t="shared" si="50"/>
        <v>122</v>
      </c>
      <c r="C136" s="20" t="s">
        <v>22</v>
      </c>
      <c r="D136" s="20">
        <v>320000363</v>
      </c>
      <c r="E136" s="20" t="str">
        <f t="shared" si="49"/>
        <v>320000363</v>
      </c>
      <c r="F136" s="20" t="s">
        <v>11</v>
      </c>
      <c r="G136" s="20" t="s">
        <v>29</v>
      </c>
      <c r="H136" s="20" t="s">
        <v>412</v>
      </c>
      <c r="I136" s="20"/>
      <c r="J136" s="20" t="s">
        <v>103</v>
      </c>
      <c r="K136" s="20" t="s">
        <v>83</v>
      </c>
      <c r="L136" s="20"/>
      <c r="M136" s="20" t="s">
        <v>21</v>
      </c>
      <c r="N136" s="20">
        <v>1</v>
      </c>
      <c r="O136" s="20" t="s">
        <v>15</v>
      </c>
      <c r="P136" s="20"/>
      <c r="Q136" s="20" t="s">
        <v>395</v>
      </c>
      <c r="R136" s="20" t="s">
        <v>346</v>
      </c>
      <c r="S136" s="58" t="s">
        <v>746</v>
      </c>
      <c r="T136" s="59" t="s">
        <v>1238</v>
      </c>
      <c r="U136" s="59" t="s">
        <v>801</v>
      </c>
      <c r="V136" s="78" t="s">
        <v>820</v>
      </c>
      <c r="W136" s="59" t="s">
        <v>805</v>
      </c>
      <c r="X136" s="59" t="s">
        <v>839</v>
      </c>
      <c r="Y136" s="20" t="s">
        <v>843</v>
      </c>
      <c r="Z136" s="71">
        <v>0</v>
      </c>
      <c r="AA136" s="71">
        <v>290000</v>
      </c>
      <c r="AB136" s="71">
        <v>290000</v>
      </c>
      <c r="AC136" s="113">
        <v>89.59</v>
      </c>
      <c r="AD136" s="113">
        <f>($Y$1*$AC136)*$N136</f>
        <v>121484.04000000001</v>
      </c>
      <c r="AE136" s="113">
        <v>89.59</v>
      </c>
      <c r="AF136" s="113">
        <f>($Y$1*$AC136)*$N136</f>
        <v>121484.04000000001</v>
      </c>
    </row>
    <row r="137" spans="1:32" s="57" customFormat="1" ht="54" x14ac:dyDescent="0.2">
      <c r="B137" s="12">
        <f t="shared" si="50"/>
        <v>123</v>
      </c>
      <c r="C137" s="20" t="s">
        <v>22</v>
      </c>
      <c r="D137" s="20">
        <v>340001643</v>
      </c>
      <c r="E137" s="20" t="str">
        <f t="shared" si="49"/>
        <v>340001643</v>
      </c>
      <c r="F137" s="20" t="s">
        <v>11</v>
      </c>
      <c r="G137" s="20" t="s">
        <v>23</v>
      </c>
      <c r="H137" s="20" t="s">
        <v>410</v>
      </c>
      <c r="I137" s="20"/>
      <c r="J137" s="20" t="s">
        <v>143</v>
      </c>
      <c r="K137" s="20" t="s">
        <v>106</v>
      </c>
      <c r="L137" s="20"/>
      <c r="M137" s="20" t="s">
        <v>21</v>
      </c>
      <c r="N137" s="20">
        <v>1</v>
      </c>
      <c r="O137" s="20" t="s">
        <v>15</v>
      </c>
      <c r="P137" s="20"/>
      <c r="Q137" s="20" t="s">
        <v>395</v>
      </c>
      <c r="R137" s="20" t="s">
        <v>346</v>
      </c>
      <c r="S137" s="58" t="s">
        <v>1041</v>
      </c>
      <c r="T137" s="59" t="s">
        <v>738</v>
      </c>
      <c r="U137" s="59" t="s">
        <v>718</v>
      </c>
      <c r="V137" s="78" t="s">
        <v>998</v>
      </c>
      <c r="W137" s="59" t="s">
        <v>737</v>
      </c>
      <c r="X137" s="58" t="s">
        <v>1040</v>
      </c>
      <c r="Y137" s="20" t="s">
        <v>717</v>
      </c>
      <c r="Z137" s="71">
        <v>0</v>
      </c>
      <c r="AA137" s="71">
        <v>47000</v>
      </c>
      <c r="AB137" s="71">
        <v>47000</v>
      </c>
      <c r="AC137" s="71">
        <v>47000</v>
      </c>
      <c r="AD137" s="71">
        <f>$AC137*$N137</f>
        <v>47000</v>
      </c>
      <c r="AE137" s="71">
        <v>47000</v>
      </c>
      <c r="AF137" s="71">
        <f>$AE137*$N137</f>
        <v>47000</v>
      </c>
    </row>
    <row r="138" spans="1:32" s="57" customFormat="1" ht="54" x14ac:dyDescent="0.2">
      <c r="A138" s="57" t="s">
        <v>1051</v>
      </c>
      <c r="B138" s="19" t="str">
        <f>"123-1"</f>
        <v>123-1</v>
      </c>
      <c r="C138" s="18" t="s">
        <v>22</v>
      </c>
      <c r="D138" s="18">
        <v>340001871</v>
      </c>
      <c r="E138" s="20" t="str">
        <f t="shared" si="49"/>
        <v>340001871</v>
      </c>
      <c r="F138" s="18" t="s">
        <v>11</v>
      </c>
      <c r="G138" s="18" t="s">
        <v>495</v>
      </c>
      <c r="H138" s="18" t="s">
        <v>442</v>
      </c>
      <c r="I138" s="18" t="s">
        <v>520</v>
      </c>
      <c r="J138" s="18" t="s">
        <v>369</v>
      </c>
      <c r="K138" s="18" t="s">
        <v>76</v>
      </c>
      <c r="L138" s="18"/>
      <c r="M138" s="18" t="s">
        <v>18</v>
      </c>
      <c r="N138" s="18">
        <v>2</v>
      </c>
      <c r="O138" s="18" t="s">
        <v>38</v>
      </c>
      <c r="P138" s="18"/>
      <c r="Q138" s="18" t="s">
        <v>346</v>
      </c>
      <c r="R138" s="18" t="s">
        <v>346</v>
      </c>
      <c r="S138" s="55" t="s">
        <v>767</v>
      </c>
      <c r="T138" s="56" t="s">
        <v>1238</v>
      </c>
      <c r="U138" s="56" t="s">
        <v>720</v>
      </c>
      <c r="V138" s="76" t="s">
        <v>997</v>
      </c>
      <c r="W138" s="56" t="s">
        <v>805</v>
      </c>
      <c r="X138" s="56" t="s">
        <v>840</v>
      </c>
      <c r="Y138" s="18" t="s">
        <v>843</v>
      </c>
      <c r="Z138" s="73">
        <v>83998.5</v>
      </c>
      <c r="AA138" s="73">
        <v>132000</v>
      </c>
      <c r="AB138" s="73">
        <v>264000</v>
      </c>
      <c r="AC138" s="114">
        <v>56.15</v>
      </c>
      <c r="AD138" s="114">
        <f t="shared" ref="AD138" si="53">($Y$1*$AC138)*$N138</f>
        <v>152278.79999999999</v>
      </c>
      <c r="AE138" s="114">
        <v>56.15</v>
      </c>
      <c r="AF138" s="114">
        <f t="shared" ref="AF138:AF139" si="54">($Y$1*$AC138)*$N138</f>
        <v>152278.79999999999</v>
      </c>
    </row>
    <row r="139" spans="1:32" s="57" customFormat="1" x14ac:dyDescent="0.2">
      <c r="B139" s="12">
        <f>B137+1</f>
        <v>124</v>
      </c>
      <c r="C139" s="20" t="s">
        <v>22</v>
      </c>
      <c r="D139" s="20">
        <v>340002212</v>
      </c>
      <c r="E139" s="20" t="str">
        <f t="shared" si="49"/>
        <v>340002212</v>
      </c>
      <c r="F139" s="20" t="s">
        <v>11</v>
      </c>
      <c r="G139" s="20" t="s">
        <v>23</v>
      </c>
      <c r="H139" s="20" t="s">
        <v>410</v>
      </c>
      <c r="I139" s="20"/>
      <c r="J139" s="20" t="s">
        <v>104</v>
      </c>
      <c r="K139" s="20" t="s">
        <v>76</v>
      </c>
      <c r="L139" s="20"/>
      <c r="M139" s="20" t="s">
        <v>18</v>
      </c>
      <c r="N139" s="20">
        <v>2</v>
      </c>
      <c r="O139" s="20" t="s">
        <v>15</v>
      </c>
      <c r="P139" s="20"/>
      <c r="Q139" s="20" t="s">
        <v>395</v>
      </c>
      <c r="R139" s="20" t="s">
        <v>346</v>
      </c>
      <c r="S139" s="58" t="s">
        <v>747</v>
      </c>
      <c r="T139" s="59" t="s">
        <v>1238</v>
      </c>
      <c r="U139" s="59" t="s">
        <v>720</v>
      </c>
      <c r="V139" s="78" t="s">
        <v>821</v>
      </c>
      <c r="W139" s="59" t="s">
        <v>805</v>
      </c>
      <c r="X139" s="59" t="s">
        <v>840</v>
      </c>
      <c r="Y139" s="20" t="s">
        <v>843</v>
      </c>
      <c r="Z139" s="71">
        <v>0</v>
      </c>
      <c r="AA139" s="71">
        <v>163000</v>
      </c>
      <c r="AB139" s="71">
        <v>326000</v>
      </c>
      <c r="AC139" s="113">
        <v>62.91</v>
      </c>
      <c r="AD139" s="113">
        <f t="shared" ref="AD139" si="55">($Y$1*$AC139)*$N139</f>
        <v>170611.91999999998</v>
      </c>
      <c r="AE139" s="113">
        <v>62.91</v>
      </c>
      <c r="AF139" s="113">
        <f t="shared" si="54"/>
        <v>170611.91999999998</v>
      </c>
    </row>
    <row r="140" spans="1:32" s="85" customFormat="1" ht="27" x14ac:dyDescent="0.2">
      <c r="A140" s="57"/>
      <c r="B140" s="54">
        <f>B139+1</f>
        <v>125</v>
      </c>
      <c r="C140" s="53" t="s">
        <v>22</v>
      </c>
      <c r="D140" s="53" t="s">
        <v>1001</v>
      </c>
      <c r="E140" s="24" t="str">
        <f t="shared" si="49"/>
        <v>3400490
→ 340218502</v>
      </c>
      <c r="F140" s="53" t="s">
        <v>11</v>
      </c>
      <c r="G140" s="53" t="s">
        <v>56</v>
      </c>
      <c r="H140" s="53" t="e">
        <v>#N/A</v>
      </c>
      <c r="I140" s="53" t="s">
        <v>527</v>
      </c>
      <c r="J140" s="53" t="s">
        <v>144</v>
      </c>
      <c r="K140" s="53" t="s">
        <v>77</v>
      </c>
      <c r="L140" s="53"/>
      <c r="M140" s="53" t="s">
        <v>21</v>
      </c>
      <c r="N140" s="53">
        <v>1</v>
      </c>
      <c r="O140" s="53" t="s">
        <v>15</v>
      </c>
      <c r="P140" s="53"/>
      <c r="Q140" s="53" t="s">
        <v>395</v>
      </c>
      <c r="R140" s="53" t="s">
        <v>346</v>
      </c>
      <c r="S140" s="81" t="s">
        <v>1042</v>
      </c>
      <c r="T140" s="82" t="s">
        <v>738</v>
      </c>
      <c r="U140" s="82" t="s">
        <v>720</v>
      </c>
      <c r="V140" s="83" t="s">
        <v>901</v>
      </c>
      <c r="W140" s="82" t="s">
        <v>737</v>
      </c>
      <c r="X140" s="81" t="s">
        <v>1040</v>
      </c>
      <c r="Y140" s="53" t="s">
        <v>717</v>
      </c>
      <c r="Z140" s="84">
        <v>0</v>
      </c>
      <c r="AA140" s="84">
        <v>6800</v>
      </c>
      <c r="AB140" s="84">
        <v>0</v>
      </c>
      <c r="AC140" s="84">
        <v>6800</v>
      </c>
      <c r="AD140" s="84">
        <v>0</v>
      </c>
      <c r="AE140" s="84">
        <v>6800</v>
      </c>
      <c r="AF140" s="84">
        <v>0</v>
      </c>
    </row>
    <row r="141" spans="1:32" s="57" customFormat="1" ht="27" x14ac:dyDescent="0.2">
      <c r="B141" s="19" t="str">
        <f>"125-1"</f>
        <v>125-1</v>
      </c>
      <c r="C141" s="18">
        <v>2</v>
      </c>
      <c r="D141" s="18">
        <v>340218502</v>
      </c>
      <c r="E141" s="18"/>
      <c r="F141" s="18" t="s">
        <v>11</v>
      </c>
      <c r="G141" s="18"/>
      <c r="H141" s="18" t="s">
        <v>524</v>
      </c>
      <c r="I141" s="18"/>
      <c r="J141" s="18" t="s">
        <v>525</v>
      </c>
      <c r="K141" s="18"/>
      <c r="L141" s="18"/>
      <c r="M141" s="18" t="s">
        <v>21</v>
      </c>
      <c r="N141" s="18">
        <v>1</v>
      </c>
      <c r="O141" s="18" t="s">
        <v>15</v>
      </c>
      <c r="P141" s="18"/>
      <c r="Q141" s="18"/>
      <c r="R141" s="18"/>
      <c r="S141" s="55" t="s">
        <v>1037</v>
      </c>
      <c r="T141" s="56" t="s">
        <v>1241</v>
      </c>
      <c r="U141" s="56"/>
      <c r="V141" s="76" t="s">
        <v>1036</v>
      </c>
      <c r="W141" s="56" t="s">
        <v>737</v>
      </c>
      <c r="X141" s="55" t="s">
        <v>1040</v>
      </c>
      <c r="Y141" s="18" t="s">
        <v>717</v>
      </c>
      <c r="Z141" s="73">
        <v>0</v>
      </c>
      <c r="AA141" s="73">
        <v>6800</v>
      </c>
      <c r="AB141" s="73">
        <f>$N141*AA141</f>
        <v>6800</v>
      </c>
      <c r="AC141" s="73">
        <v>6800</v>
      </c>
      <c r="AD141" s="73">
        <f t="shared" ref="AD141:AD144" si="56">$AC141*$N141</f>
        <v>6800</v>
      </c>
      <c r="AE141" s="73">
        <v>6800</v>
      </c>
      <c r="AF141" s="73">
        <f t="shared" ref="AF141:AF144" si="57">$AE141*$N141</f>
        <v>6800</v>
      </c>
    </row>
    <row r="142" spans="1:32" s="57" customFormat="1" ht="40.5" x14ac:dyDescent="0.2">
      <c r="B142" s="12">
        <f>B140+1</f>
        <v>126</v>
      </c>
      <c r="C142" s="20" t="s">
        <v>22</v>
      </c>
      <c r="D142" s="20">
        <v>3400775</v>
      </c>
      <c r="E142" s="20" t="str">
        <f t="shared" ref="E142:E205" si="58">TRIM(D142)</f>
        <v>3400775</v>
      </c>
      <c r="F142" s="20" t="s">
        <v>11</v>
      </c>
      <c r="G142" s="20" t="s">
        <v>34</v>
      </c>
      <c r="H142" s="20" t="s">
        <v>418</v>
      </c>
      <c r="I142" s="20"/>
      <c r="J142" s="20" t="s">
        <v>145</v>
      </c>
      <c r="K142" s="20" t="s">
        <v>93</v>
      </c>
      <c r="L142" s="20"/>
      <c r="M142" s="20" t="s">
        <v>21</v>
      </c>
      <c r="N142" s="20">
        <v>1</v>
      </c>
      <c r="O142" s="20" t="s">
        <v>15</v>
      </c>
      <c r="P142" s="20"/>
      <c r="Q142" s="20" t="s">
        <v>395</v>
      </c>
      <c r="R142" s="20" t="s">
        <v>346</v>
      </c>
      <c r="S142" s="58" t="s">
        <v>1043</v>
      </c>
      <c r="T142" s="59" t="s">
        <v>738</v>
      </c>
      <c r="U142" s="59" t="s">
        <v>712</v>
      </c>
      <c r="V142" s="78" t="s">
        <v>1003</v>
      </c>
      <c r="W142" s="59" t="s">
        <v>737</v>
      </c>
      <c r="X142" s="58" t="s">
        <v>1040</v>
      </c>
      <c r="Y142" s="20" t="s">
        <v>717</v>
      </c>
      <c r="Z142" s="71">
        <v>0</v>
      </c>
      <c r="AA142" s="71">
        <v>10300</v>
      </c>
      <c r="AB142" s="71">
        <v>10300</v>
      </c>
      <c r="AC142" s="71">
        <v>10300</v>
      </c>
      <c r="AD142" s="71">
        <f t="shared" si="56"/>
        <v>10300</v>
      </c>
      <c r="AE142" s="71">
        <v>10300</v>
      </c>
      <c r="AF142" s="71">
        <f t="shared" si="57"/>
        <v>10300</v>
      </c>
    </row>
    <row r="143" spans="1:32" s="57" customFormat="1" ht="27" x14ac:dyDescent="0.2">
      <c r="B143" s="12">
        <f>B142+1</f>
        <v>127</v>
      </c>
      <c r="C143" s="20" t="s">
        <v>22</v>
      </c>
      <c r="D143" s="20">
        <v>3402049</v>
      </c>
      <c r="E143" s="20" t="str">
        <f t="shared" si="58"/>
        <v>3402049</v>
      </c>
      <c r="F143" s="20" t="s">
        <v>11</v>
      </c>
      <c r="G143" s="20" t="s">
        <v>60</v>
      </c>
      <c r="H143" s="20" t="e">
        <v>#N/A</v>
      </c>
      <c r="I143" s="20"/>
      <c r="J143" s="20" t="s">
        <v>105</v>
      </c>
      <c r="K143" s="20" t="s">
        <v>96</v>
      </c>
      <c r="L143" s="20"/>
      <c r="M143" s="20" t="s">
        <v>21</v>
      </c>
      <c r="N143" s="20">
        <v>1</v>
      </c>
      <c r="O143" s="20" t="s">
        <v>15</v>
      </c>
      <c r="P143" s="20"/>
      <c r="Q143" s="20" t="s">
        <v>395</v>
      </c>
      <c r="R143" s="20" t="s">
        <v>346</v>
      </c>
      <c r="S143" s="58" t="s">
        <v>748</v>
      </c>
      <c r="T143" s="59" t="s">
        <v>721</v>
      </c>
      <c r="U143" s="59" t="s">
        <v>720</v>
      </c>
      <c r="V143" s="78" t="s">
        <v>979</v>
      </c>
      <c r="W143" s="59" t="s">
        <v>806</v>
      </c>
      <c r="X143" s="59" t="s">
        <v>841</v>
      </c>
      <c r="Y143" s="20" t="s">
        <v>717</v>
      </c>
      <c r="Z143" s="71">
        <v>0</v>
      </c>
      <c r="AA143" s="71">
        <v>68969</v>
      </c>
      <c r="AB143" s="71">
        <f>AA143*N143</f>
        <v>68969</v>
      </c>
      <c r="AC143" s="71">
        <v>90219</v>
      </c>
      <c r="AD143" s="71">
        <f t="shared" si="56"/>
        <v>90219</v>
      </c>
      <c r="AE143" s="71">
        <v>74000</v>
      </c>
      <c r="AF143" s="71">
        <f t="shared" si="57"/>
        <v>74000</v>
      </c>
    </row>
    <row r="144" spans="1:32" s="57" customFormat="1" ht="27" x14ac:dyDescent="0.2">
      <c r="B144" s="12">
        <f>B143+1</f>
        <v>128</v>
      </c>
      <c r="C144" s="20" t="s">
        <v>22</v>
      </c>
      <c r="D144" s="20">
        <v>350001184</v>
      </c>
      <c r="E144" s="20" t="str">
        <f t="shared" si="58"/>
        <v>350001184</v>
      </c>
      <c r="F144" s="20" t="s">
        <v>11</v>
      </c>
      <c r="G144" s="20" t="s">
        <v>60</v>
      </c>
      <c r="H144" s="20" t="s">
        <v>422</v>
      </c>
      <c r="I144" s="20"/>
      <c r="J144" s="20" t="s">
        <v>108</v>
      </c>
      <c r="K144" s="20" t="s">
        <v>72</v>
      </c>
      <c r="L144" s="20"/>
      <c r="M144" s="20" t="s">
        <v>18</v>
      </c>
      <c r="N144" s="20">
        <v>2</v>
      </c>
      <c r="O144" s="20" t="s">
        <v>15</v>
      </c>
      <c r="P144" s="20"/>
      <c r="Q144" s="20" t="s">
        <v>395</v>
      </c>
      <c r="R144" s="20" t="s">
        <v>346</v>
      </c>
      <c r="S144" s="58" t="s">
        <v>749</v>
      </c>
      <c r="T144" s="59" t="s">
        <v>836</v>
      </c>
      <c r="U144" s="59" t="s">
        <v>720</v>
      </c>
      <c r="V144" s="78" t="s">
        <v>823</v>
      </c>
      <c r="W144" s="59" t="s">
        <v>804</v>
      </c>
      <c r="X144" s="59" t="s">
        <v>751</v>
      </c>
      <c r="Y144" s="20" t="s">
        <v>717</v>
      </c>
      <c r="Z144" s="71">
        <v>0</v>
      </c>
      <c r="AA144" s="71">
        <v>2470</v>
      </c>
      <c r="AB144" s="71">
        <v>4940</v>
      </c>
      <c r="AC144" s="71">
        <v>2470</v>
      </c>
      <c r="AD144" s="71">
        <f t="shared" si="56"/>
        <v>4940</v>
      </c>
      <c r="AE144" s="71">
        <v>2470</v>
      </c>
      <c r="AF144" s="71">
        <f t="shared" si="57"/>
        <v>4940</v>
      </c>
    </row>
    <row r="145" spans="2:32" s="57" customFormat="1" ht="27" x14ac:dyDescent="0.2">
      <c r="B145" s="12">
        <f>B144+1</f>
        <v>129</v>
      </c>
      <c r="C145" s="20" t="s">
        <v>22</v>
      </c>
      <c r="D145" s="20">
        <v>430000724</v>
      </c>
      <c r="E145" s="20" t="str">
        <f t="shared" si="58"/>
        <v>430000724</v>
      </c>
      <c r="F145" s="20" t="s">
        <v>11</v>
      </c>
      <c r="G145" s="20" t="s">
        <v>109</v>
      </c>
      <c r="H145" s="20" t="s">
        <v>432</v>
      </c>
      <c r="I145" s="20"/>
      <c r="J145" s="20" t="s">
        <v>110</v>
      </c>
      <c r="K145" s="20" t="s">
        <v>14</v>
      </c>
      <c r="L145" s="20"/>
      <c r="M145" s="20" t="s">
        <v>18</v>
      </c>
      <c r="N145" s="20">
        <v>2</v>
      </c>
      <c r="O145" s="20" t="s">
        <v>15</v>
      </c>
      <c r="P145" s="20"/>
      <c r="Q145" s="20" t="s">
        <v>395</v>
      </c>
      <c r="R145" s="20" t="s">
        <v>346</v>
      </c>
      <c r="S145" s="58" t="s">
        <v>750</v>
      </c>
      <c r="T145" s="59" t="s">
        <v>1238</v>
      </c>
      <c r="U145" s="59" t="s">
        <v>720</v>
      </c>
      <c r="V145" s="78" t="s">
        <v>981</v>
      </c>
      <c r="W145" s="59" t="s">
        <v>805</v>
      </c>
      <c r="X145" s="59" t="s">
        <v>840</v>
      </c>
      <c r="Y145" s="20" t="s">
        <v>843</v>
      </c>
      <c r="Z145" s="71">
        <v>0</v>
      </c>
      <c r="AA145" s="71">
        <v>75000</v>
      </c>
      <c r="AB145" s="71">
        <v>150000</v>
      </c>
      <c r="AC145" s="113">
        <v>23.08</v>
      </c>
      <c r="AD145" s="113">
        <f>($Y$1*$AC145)*$N145</f>
        <v>62592.959999999992</v>
      </c>
      <c r="AE145" s="113">
        <v>23.08</v>
      </c>
      <c r="AF145" s="113">
        <f>($Y$1*$AC145)*$N145</f>
        <v>62592.959999999992</v>
      </c>
    </row>
    <row r="146" spans="2:32" s="57" customFormat="1" x14ac:dyDescent="0.2">
      <c r="B146" s="12">
        <f>B145+1</f>
        <v>130</v>
      </c>
      <c r="C146" s="20" t="s">
        <v>22</v>
      </c>
      <c r="D146" s="20" t="s">
        <v>380</v>
      </c>
      <c r="E146" s="20" t="str">
        <f t="shared" si="58"/>
        <v>44S0093</v>
      </c>
      <c r="F146" s="20" t="s">
        <v>11</v>
      </c>
      <c r="G146" s="20" t="s">
        <v>111</v>
      </c>
      <c r="H146" s="20" t="s">
        <v>433</v>
      </c>
      <c r="I146" s="20"/>
      <c r="J146" s="20" t="s">
        <v>112</v>
      </c>
      <c r="K146" s="20" t="s">
        <v>14</v>
      </c>
      <c r="L146" s="20"/>
      <c r="M146" s="20" t="s">
        <v>55</v>
      </c>
      <c r="N146" s="20">
        <v>4</v>
      </c>
      <c r="O146" s="20" t="s">
        <v>15</v>
      </c>
      <c r="P146" s="20"/>
      <c r="Q146" s="20" t="s">
        <v>395</v>
      </c>
      <c r="R146" s="20" t="s">
        <v>346</v>
      </c>
      <c r="S146" s="58" t="s">
        <v>747</v>
      </c>
      <c r="T146" s="59" t="s">
        <v>1240</v>
      </c>
      <c r="U146" s="59" t="s">
        <v>718</v>
      </c>
      <c r="V146" s="78" t="s">
        <v>1046</v>
      </c>
      <c r="W146" s="59" t="s">
        <v>805</v>
      </c>
      <c r="X146" s="59" t="s">
        <v>840</v>
      </c>
      <c r="Y146" s="20" t="s">
        <v>843</v>
      </c>
      <c r="Z146" s="71">
        <v>0</v>
      </c>
      <c r="AA146" s="71">
        <v>400</v>
      </c>
      <c r="AB146" s="71">
        <v>400</v>
      </c>
      <c r="AC146" s="113">
        <v>9.4700000000000006</v>
      </c>
      <c r="AD146" s="113">
        <v>0</v>
      </c>
      <c r="AE146" s="113">
        <v>9.4700000000000006</v>
      </c>
      <c r="AF146" s="113">
        <v>0</v>
      </c>
    </row>
    <row r="147" spans="2:32" s="57" customFormat="1" x14ac:dyDescent="0.25">
      <c r="B147" s="19" t="str">
        <f>"116-1"</f>
        <v>116-1</v>
      </c>
      <c r="C147" s="18">
        <v>2</v>
      </c>
      <c r="D147" s="46" t="s">
        <v>515</v>
      </c>
      <c r="E147" s="20" t="str">
        <f t="shared" si="58"/>
        <v>900000909</v>
      </c>
      <c r="F147" s="18" t="s">
        <v>11</v>
      </c>
      <c r="G147" s="18"/>
      <c r="H147" s="18" t="s">
        <v>506</v>
      </c>
      <c r="I147" s="18" t="s">
        <v>513</v>
      </c>
      <c r="J147" s="18" t="s">
        <v>521</v>
      </c>
      <c r="K147" s="18"/>
      <c r="L147" s="18"/>
      <c r="M147" s="18" t="s">
        <v>517</v>
      </c>
      <c r="N147" s="18"/>
      <c r="O147" s="18"/>
      <c r="P147" s="18"/>
      <c r="Q147" s="18"/>
      <c r="R147" s="18"/>
      <c r="S147" s="55"/>
      <c r="T147" s="56"/>
      <c r="U147" s="56"/>
      <c r="V147" s="76"/>
      <c r="W147" s="56"/>
      <c r="X147" s="56"/>
      <c r="Y147" s="18"/>
      <c r="Z147" s="73"/>
      <c r="AA147" s="73"/>
      <c r="AB147" s="73"/>
      <c r="AC147" s="73"/>
      <c r="AD147" s="73"/>
      <c r="AE147" s="73"/>
      <c r="AF147" s="73"/>
    </row>
    <row r="148" spans="2:32" s="57" customFormat="1" x14ac:dyDescent="0.2">
      <c r="B148" s="12">
        <f>B146+1</f>
        <v>131</v>
      </c>
      <c r="C148" s="20" t="s">
        <v>22</v>
      </c>
      <c r="D148" s="20">
        <v>9200106</v>
      </c>
      <c r="E148" s="20" t="str">
        <f t="shared" si="58"/>
        <v>9200106</v>
      </c>
      <c r="F148" s="20" t="s">
        <v>11</v>
      </c>
      <c r="G148" s="20" t="s">
        <v>113</v>
      </c>
      <c r="H148" s="20" t="s">
        <v>434</v>
      </c>
      <c r="I148" s="20"/>
      <c r="J148" s="20" t="s">
        <v>114</v>
      </c>
      <c r="K148" s="20" t="s">
        <v>151</v>
      </c>
      <c r="L148" s="20"/>
      <c r="M148" s="20" t="s">
        <v>25</v>
      </c>
      <c r="N148" s="20">
        <v>0</v>
      </c>
      <c r="O148" s="20" t="s">
        <v>15</v>
      </c>
      <c r="P148" s="20"/>
      <c r="Q148" s="20" t="s">
        <v>395</v>
      </c>
      <c r="R148" s="20" t="s">
        <v>346</v>
      </c>
      <c r="S148" s="58" t="s">
        <v>728</v>
      </c>
      <c r="T148" s="59" t="s">
        <v>738</v>
      </c>
      <c r="U148" s="59" t="s">
        <v>719</v>
      </c>
      <c r="V148" s="78" t="s">
        <v>824</v>
      </c>
      <c r="W148" s="59" t="s">
        <v>735</v>
      </c>
      <c r="X148" s="59" t="s">
        <v>842</v>
      </c>
      <c r="Y148" s="20" t="s">
        <v>717</v>
      </c>
      <c r="Z148" s="71">
        <v>0</v>
      </c>
      <c r="AA148" s="71">
        <v>28800</v>
      </c>
      <c r="AB148" s="71">
        <v>0</v>
      </c>
      <c r="AC148" s="71">
        <v>28800</v>
      </c>
      <c r="AD148" s="71">
        <v>0</v>
      </c>
      <c r="AE148" s="71">
        <v>28800</v>
      </c>
      <c r="AF148" s="71">
        <v>0</v>
      </c>
    </row>
    <row r="149" spans="2:32" s="57" customFormat="1" x14ac:dyDescent="0.2">
      <c r="B149" s="49">
        <f t="shared" ref="B149:B212" si="59">B148+1</f>
        <v>132</v>
      </c>
      <c r="C149" s="50" t="s">
        <v>16</v>
      </c>
      <c r="D149" s="50">
        <v>120006025</v>
      </c>
      <c r="E149" s="20" t="str">
        <f t="shared" si="58"/>
        <v>120006025</v>
      </c>
      <c r="F149" s="50" t="s">
        <v>11</v>
      </c>
      <c r="G149" s="50" t="s">
        <v>29</v>
      </c>
      <c r="H149" s="50" t="s">
        <v>412</v>
      </c>
      <c r="I149" s="50"/>
      <c r="J149" s="50" t="s">
        <v>152</v>
      </c>
      <c r="K149" s="50" t="s">
        <v>14</v>
      </c>
      <c r="L149" s="50"/>
      <c r="M149" s="50" t="s">
        <v>21</v>
      </c>
      <c r="N149" s="50">
        <v>1</v>
      </c>
      <c r="O149" s="50" t="s">
        <v>15</v>
      </c>
      <c r="P149" s="50"/>
      <c r="Q149" s="50" t="s">
        <v>352</v>
      </c>
      <c r="R149" s="50" t="s">
        <v>352</v>
      </c>
      <c r="S149" s="51" t="s">
        <v>712</v>
      </c>
      <c r="T149" s="52" t="s">
        <v>712</v>
      </c>
      <c r="U149" s="52" t="s">
        <v>712</v>
      </c>
      <c r="V149" s="79" t="s">
        <v>713</v>
      </c>
      <c r="W149" s="52" t="s">
        <v>712</v>
      </c>
      <c r="X149" s="52" t="s">
        <v>712</v>
      </c>
      <c r="Y149" s="50" t="s">
        <v>717</v>
      </c>
      <c r="Z149" s="72">
        <v>0</v>
      </c>
      <c r="AA149" s="72">
        <v>0</v>
      </c>
      <c r="AB149" s="72">
        <v>0</v>
      </c>
      <c r="AC149" s="72">
        <v>0</v>
      </c>
      <c r="AD149" s="72">
        <v>0</v>
      </c>
      <c r="AE149" s="72">
        <v>0</v>
      </c>
      <c r="AF149" s="72">
        <v>0</v>
      </c>
    </row>
    <row r="150" spans="2:32" s="57" customFormat="1" x14ac:dyDescent="0.2">
      <c r="B150" s="12">
        <f t="shared" si="59"/>
        <v>133</v>
      </c>
      <c r="C150" s="20" t="s">
        <v>22</v>
      </c>
      <c r="D150" s="20">
        <v>230000654</v>
      </c>
      <c r="E150" s="20" t="str">
        <f t="shared" si="58"/>
        <v>230000654</v>
      </c>
      <c r="F150" s="20" t="s">
        <v>11</v>
      </c>
      <c r="G150" s="20" t="s">
        <v>23</v>
      </c>
      <c r="H150" s="20" t="s">
        <v>410</v>
      </c>
      <c r="I150" s="20"/>
      <c r="J150" s="20" t="s">
        <v>153</v>
      </c>
      <c r="K150" s="20" t="s">
        <v>127</v>
      </c>
      <c r="L150" s="20"/>
      <c r="M150" s="20" t="s">
        <v>21</v>
      </c>
      <c r="N150" s="20">
        <v>1</v>
      </c>
      <c r="O150" s="20" t="s">
        <v>15</v>
      </c>
      <c r="P150" s="20"/>
      <c r="Q150" s="20" t="s">
        <v>395</v>
      </c>
      <c r="R150" s="20" t="s">
        <v>346</v>
      </c>
      <c r="S150" s="58" t="s">
        <v>771</v>
      </c>
      <c r="T150" s="59" t="s">
        <v>836</v>
      </c>
      <c r="U150" s="59" t="s">
        <v>718</v>
      </c>
      <c r="V150" s="78" t="s">
        <v>902</v>
      </c>
      <c r="W150" s="59" t="s">
        <v>808</v>
      </c>
      <c r="X150" s="59" t="s">
        <v>751</v>
      </c>
      <c r="Y150" s="20" t="s">
        <v>717</v>
      </c>
      <c r="Z150" s="71">
        <v>0</v>
      </c>
      <c r="AA150" s="71">
        <v>298000</v>
      </c>
      <c r="AB150" s="71">
        <v>298000</v>
      </c>
      <c r="AC150" s="71">
        <v>263000</v>
      </c>
      <c r="AD150" s="71">
        <f t="shared" ref="AD150:AD151" si="60">$AC150*$N150</f>
        <v>263000</v>
      </c>
      <c r="AE150" s="71">
        <v>263000</v>
      </c>
      <c r="AF150" s="71">
        <f t="shared" ref="AF150:AF151" si="61">$AE150*$N150</f>
        <v>263000</v>
      </c>
    </row>
    <row r="151" spans="2:32" s="57" customFormat="1" x14ac:dyDescent="0.2">
      <c r="B151" s="12">
        <f t="shared" si="59"/>
        <v>134</v>
      </c>
      <c r="C151" s="20" t="s">
        <v>22</v>
      </c>
      <c r="D151" s="20">
        <v>530000551</v>
      </c>
      <c r="E151" s="20" t="str">
        <f t="shared" si="58"/>
        <v>530000551</v>
      </c>
      <c r="F151" s="20" t="s">
        <v>11</v>
      </c>
      <c r="G151" s="20" t="s">
        <v>23</v>
      </c>
      <c r="H151" s="20" t="s">
        <v>410</v>
      </c>
      <c r="I151" s="20"/>
      <c r="J151" s="20" t="s">
        <v>154</v>
      </c>
      <c r="K151" s="20" t="s">
        <v>68</v>
      </c>
      <c r="L151" s="20"/>
      <c r="M151" s="20" t="s">
        <v>21</v>
      </c>
      <c r="N151" s="20">
        <v>1</v>
      </c>
      <c r="O151" s="20" t="s">
        <v>15</v>
      </c>
      <c r="P151" s="20"/>
      <c r="Q151" s="20" t="s">
        <v>395</v>
      </c>
      <c r="R151" s="20" t="s">
        <v>346</v>
      </c>
      <c r="S151" s="58" t="s">
        <v>771</v>
      </c>
      <c r="T151" s="59" t="s">
        <v>836</v>
      </c>
      <c r="U151" s="59" t="s">
        <v>718</v>
      </c>
      <c r="V151" s="78" t="s">
        <v>903</v>
      </c>
      <c r="W151" s="59" t="s">
        <v>808</v>
      </c>
      <c r="X151" s="59" t="s">
        <v>751</v>
      </c>
      <c r="Y151" s="20" t="s">
        <v>717</v>
      </c>
      <c r="Z151" s="71">
        <v>0</v>
      </c>
      <c r="AA151" s="71">
        <v>1080000</v>
      </c>
      <c r="AB151" s="71">
        <v>1080000</v>
      </c>
      <c r="AC151" s="71">
        <v>953000</v>
      </c>
      <c r="AD151" s="71">
        <f t="shared" si="60"/>
        <v>953000</v>
      </c>
      <c r="AE151" s="71">
        <v>953000</v>
      </c>
      <c r="AF151" s="71">
        <f t="shared" si="61"/>
        <v>953000</v>
      </c>
    </row>
    <row r="152" spans="2:32" s="57" customFormat="1" x14ac:dyDescent="0.2">
      <c r="B152" s="49">
        <f t="shared" si="59"/>
        <v>135</v>
      </c>
      <c r="C152" s="50" t="s">
        <v>22</v>
      </c>
      <c r="D152" s="50">
        <v>8600780</v>
      </c>
      <c r="E152" s="20" t="str">
        <f t="shared" si="58"/>
        <v>8600780</v>
      </c>
      <c r="F152" s="50" t="s">
        <v>11</v>
      </c>
      <c r="G152" s="50" t="s">
        <v>155</v>
      </c>
      <c r="H152" s="50" t="s">
        <v>446</v>
      </c>
      <c r="I152" s="50"/>
      <c r="J152" s="50" t="s">
        <v>156</v>
      </c>
      <c r="K152" s="50" t="s">
        <v>70</v>
      </c>
      <c r="L152" s="50"/>
      <c r="M152" s="50" t="s">
        <v>25</v>
      </c>
      <c r="N152" s="50">
        <v>0</v>
      </c>
      <c r="O152" s="50" t="s">
        <v>38</v>
      </c>
      <c r="P152" s="50"/>
      <c r="Q152" s="50" t="s">
        <v>352</v>
      </c>
      <c r="R152" s="50" t="s">
        <v>352</v>
      </c>
      <c r="S152" s="51" t="s">
        <v>712</v>
      </c>
      <c r="T152" s="52" t="s">
        <v>712</v>
      </c>
      <c r="U152" s="52" t="s">
        <v>712</v>
      </c>
      <c r="V152" s="79" t="s">
        <v>740</v>
      </c>
      <c r="W152" s="52" t="s">
        <v>712</v>
      </c>
      <c r="X152" s="52" t="s">
        <v>712</v>
      </c>
      <c r="Y152" s="50" t="s">
        <v>717</v>
      </c>
      <c r="Z152" s="72">
        <v>0</v>
      </c>
      <c r="AA152" s="72">
        <v>0</v>
      </c>
      <c r="AB152" s="72">
        <v>0</v>
      </c>
      <c r="AC152" s="72">
        <v>0</v>
      </c>
      <c r="AD152" s="72">
        <v>0</v>
      </c>
      <c r="AE152" s="72">
        <v>0</v>
      </c>
      <c r="AF152" s="72">
        <v>0</v>
      </c>
    </row>
    <row r="153" spans="2:32" s="57" customFormat="1" x14ac:dyDescent="0.2">
      <c r="B153" s="49">
        <f t="shared" si="59"/>
        <v>136</v>
      </c>
      <c r="C153" s="50" t="s">
        <v>16</v>
      </c>
      <c r="D153" s="50">
        <v>120006197</v>
      </c>
      <c r="E153" s="20" t="str">
        <f t="shared" si="58"/>
        <v>120006197</v>
      </c>
      <c r="F153" s="50" t="s">
        <v>11</v>
      </c>
      <c r="G153" s="50" t="s">
        <v>60</v>
      </c>
      <c r="H153" s="50" t="s">
        <v>422</v>
      </c>
      <c r="I153" s="50"/>
      <c r="J153" s="50" t="s">
        <v>157</v>
      </c>
      <c r="K153" s="50" t="s">
        <v>14</v>
      </c>
      <c r="L153" s="50"/>
      <c r="M153" s="50" t="s">
        <v>21</v>
      </c>
      <c r="N153" s="50">
        <v>1</v>
      </c>
      <c r="O153" s="50" t="s">
        <v>15</v>
      </c>
      <c r="P153" s="50"/>
      <c r="Q153" s="50" t="s">
        <v>352</v>
      </c>
      <c r="R153" s="50" t="s">
        <v>352</v>
      </c>
      <c r="S153" s="51" t="s">
        <v>712</v>
      </c>
      <c r="T153" s="52" t="s">
        <v>712</v>
      </c>
      <c r="U153" s="52" t="s">
        <v>712</v>
      </c>
      <c r="V153" s="79" t="s">
        <v>715</v>
      </c>
      <c r="W153" s="52" t="s">
        <v>712</v>
      </c>
      <c r="X153" s="52" t="s">
        <v>712</v>
      </c>
      <c r="Y153" s="50" t="s">
        <v>717</v>
      </c>
      <c r="Z153" s="72">
        <v>0</v>
      </c>
      <c r="AA153" s="72">
        <v>0</v>
      </c>
      <c r="AB153" s="72">
        <v>0</v>
      </c>
      <c r="AC153" s="72">
        <v>0</v>
      </c>
      <c r="AD153" s="72">
        <v>0</v>
      </c>
      <c r="AE153" s="72">
        <v>0</v>
      </c>
      <c r="AF153" s="72">
        <v>0</v>
      </c>
    </row>
    <row r="154" spans="2:32" s="57" customFormat="1" x14ac:dyDescent="0.2">
      <c r="B154" s="12">
        <f t="shared" si="59"/>
        <v>137</v>
      </c>
      <c r="C154" s="20" t="s">
        <v>22</v>
      </c>
      <c r="D154" s="20">
        <v>230000667</v>
      </c>
      <c r="E154" s="20" t="str">
        <f t="shared" si="58"/>
        <v>230000667</v>
      </c>
      <c r="F154" s="20" t="s">
        <v>11</v>
      </c>
      <c r="G154" s="20" t="s">
        <v>23</v>
      </c>
      <c r="H154" s="20" t="s">
        <v>410</v>
      </c>
      <c r="I154" s="20"/>
      <c r="J154" s="20" t="s">
        <v>158</v>
      </c>
      <c r="K154" s="20" t="s">
        <v>127</v>
      </c>
      <c r="L154" s="20"/>
      <c r="M154" s="20" t="s">
        <v>21</v>
      </c>
      <c r="N154" s="20">
        <v>1</v>
      </c>
      <c r="O154" s="20" t="s">
        <v>15</v>
      </c>
      <c r="P154" s="20"/>
      <c r="Q154" s="20" t="s">
        <v>395</v>
      </c>
      <c r="R154" s="20" t="s">
        <v>346</v>
      </c>
      <c r="S154" s="58" t="s">
        <v>772</v>
      </c>
      <c r="T154" s="59" t="s">
        <v>738</v>
      </c>
      <c r="U154" s="59" t="s">
        <v>719</v>
      </c>
      <c r="V154" s="78" t="s">
        <v>904</v>
      </c>
      <c r="W154" s="59" t="s">
        <v>809</v>
      </c>
      <c r="X154" s="59" t="s">
        <v>847</v>
      </c>
      <c r="Y154" s="20" t="s">
        <v>717</v>
      </c>
      <c r="Z154" s="71">
        <v>0</v>
      </c>
      <c r="AA154" s="71">
        <v>130000</v>
      </c>
      <c r="AB154" s="71">
        <v>130000</v>
      </c>
      <c r="AC154" s="71">
        <v>92000</v>
      </c>
      <c r="AD154" s="71">
        <f>$AC154*$N154</f>
        <v>92000</v>
      </c>
      <c r="AE154" s="71">
        <v>92000</v>
      </c>
      <c r="AF154" s="71">
        <f>$AE154*$N154</f>
        <v>92000</v>
      </c>
    </row>
    <row r="155" spans="2:32" s="57" customFormat="1" x14ac:dyDescent="0.2">
      <c r="B155" s="12">
        <f t="shared" si="59"/>
        <v>138</v>
      </c>
      <c r="C155" s="20" t="s">
        <v>36</v>
      </c>
      <c r="D155" s="20" t="s">
        <v>371</v>
      </c>
      <c r="E155" s="20" t="str">
        <f t="shared" si="58"/>
        <v>230000667VM</v>
      </c>
      <c r="F155" s="20" t="s">
        <v>11</v>
      </c>
      <c r="G155" s="20" t="s">
        <v>159</v>
      </c>
      <c r="H155" s="20" t="s">
        <v>447</v>
      </c>
      <c r="I155" s="20"/>
      <c r="J155" s="20" t="s">
        <v>158</v>
      </c>
      <c r="K155" s="20" t="s">
        <v>127</v>
      </c>
      <c r="L155" s="20"/>
      <c r="M155" s="20" t="s">
        <v>25</v>
      </c>
      <c r="N155" s="20">
        <v>0</v>
      </c>
      <c r="O155" s="20" t="s">
        <v>15</v>
      </c>
      <c r="P155" s="20"/>
      <c r="Q155" s="20" t="s">
        <v>395</v>
      </c>
      <c r="R155" s="20" t="s">
        <v>346</v>
      </c>
      <c r="S155" s="58" t="s">
        <v>772</v>
      </c>
      <c r="T155" s="59" t="s">
        <v>738</v>
      </c>
      <c r="U155" s="59" t="s">
        <v>719</v>
      </c>
      <c r="V155" s="78" t="s">
        <v>905</v>
      </c>
      <c r="W155" s="59" t="s">
        <v>809</v>
      </c>
      <c r="X155" s="59" t="s">
        <v>847</v>
      </c>
      <c r="Y155" s="20" t="s">
        <v>717</v>
      </c>
      <c r="Z155" s="71">
        <v>0</v>
      </c>
      <c r="AA155" s="71">
        <v>130000</v>
      </c>
      <c r="AB155" s="71">
        <v>0</v>
      </c>
      <c r="AC155" s="71">
        <v>92000</v>
      </c>
      <c r="AD155" s="71">
        <v>0</v>
      </c>
      <c r="AE155" s="71">
        <v>92000</v>
      </c>
      <c r="AF155" s="71">
        <v>0</v>
      </c>
    </row>
    <row r="156" spans="2:32" s="57" customFormat="1" x14ac:dyDescent="0.2">
      <c r="B156" s="49">
        <f t="shared" si="59"/>
        <v>139</v>
      </c>
      <c r="C156" s="50" t="s">
        <v>22</v>
      </c>
      <c r="D156" s="50">
        <v>8600780</v>
      </c>
      <c r="E156" s="20" t="str">
        <f t="shared" si="58"/>
        <v>8600780</v>
      </c>
      <c r="F156" s="50" t="s">
        <v>11</v>
      </c>
      <c r="G156" s="50" t="s">
        <v>155</v>
      </c>
      <c r="H156" s="50" t="s">
        <v>446</v>
      </c>
      <c r="I156" s="50"/>
      <c r="J156" s="50" t="s">
        <v>156</v>
      </c>
      <c r="K156" s="50" t="s">
        <v>68</v>
      </c>
      <c r="L156" s="50"/>
      <c r="M156" s="50" t="s">
        <v>25</v>
      </c>
      <c r="N156" s="50">
        <v>0</v>
      </c>
      <c r="O156" s="50" t="s">
        <v>38</v>
      </c>
      <c r="P156" s="50"/>
      <c r="Q156" s="50" t="s">
        <v>352</v>
      </c>
      <c r="R156" s="50" t="s">
        <v>352</v>
      </c>
      <c r="S156" s="51" t="s">
        <v>712</v>
      </c>
      <c r="T156" s="52" t="s">
        <v>712</v>
      </c>
      <c r="U156" s="52" t="s">
        <v>712</v>
      </c>
      <c r="V156" s="79" t="s">
        <v>740</v>
      </c>
      <c r="W156" s="52" t="s">
        <v>712</v>
      </c>
      <c r="X156" s="52" t="s">
        <v>712</v>
      </c>
      <c r="Y156" s="50" t="s">
        <v>717</v>
      </c>
      <c r="Z156" s="72">
        <v>0</v>
      </c>
      <c r="AA156" s="72">
        <v>0</v>
      </c>
      <c r="AB156" s="72">
        <v>0</v>
      </c>
      <c r="AC156" s="72">
        <v>0</v>
      </c>
      <c r="AD156" s="72">
        <v>0</v>
      </c>
      <c r="AE156" s="72">
        <v>0</v>
      </c>
      <c r="AF156" s="72">
        <v>0</v>
      </c>
    </row>
    <row r="157" spans="2:32" s="57" customFormat="1" ht="94.5" x14ac:dyDescent="0.2">
      <c r="B157" s="12">
        <f t="shared" si="59"/>
        <v>140</v>
      </c>
      <c r="C157" s="20" t="s">
        <v>16</v>
      </c>
      <c r="D157" s="20">
        <v>160025507</v>
      </c>
      <c r="E157" s="20" t="str">
        <f t="shared" si="58"/>
        <v>160025507</v>
      </c>
      <c r="F157" s="20" t="s">
        <v>11</v>
      </c>
      <c r="G157" s="20" t="s">
        <v>23</v>
      </c>
      <c r="H157" s="20" t="s">
        <v>410</v>
      </c>
      <c r="I157" s="20"/>
      <c r="J157" s="20" t="s">
        <v>160</v>
      </c>
      <c r="K157" s="20" t="s">
        <v>14</v>
      </c>
      <c r="L157" s="20"/>
      <c r="M157" s="20" t="s">
        <v>21</v>
      </c>
      <c r="N157" s="20">
        <v>1</v>
      </c>
      <c r="O157" s="20" t="s">
        <v>15</v>
      </c>
      <c r="P157" s="20"/>
      <c r="Q157" s="20" t="s">
        <v>393</v>
      </c>
      <c r="R157" s="20" t="s">
        <v>400</v>
      </c>
      <c r="S157" s="58" t="s">
        <v>773</v>
      </c>
      <c r="T157" s="59" t="s">
        <v>721</v>
      </c>
      <c r="U157" s="59" t="s">
        <v>712</v>
      </c>
      <c r="V157" s="78" t="s">
        <v>958</v>
      </c>
      <c r="W157" s="59" t="s">
        <v>810</v>
      </c>
      <c r="X157" s="59" t="s">
        <v>751</v>
      </c>
      <c r="Y157" s="20" t="s">
        <v>843</v>
      </c>
      <c r="Z157" s="71">
        <v>185310</v>
      </c>
      <c r="AA157" s="71">
        <v>128.5</v>
      </c>
      <c r="AB157" s="71">
        <v>186325</v>
      </c>
      <c r="AC157" s="71">
        <v>128.5</v>
      </c>
      <c r="AD157" s="71">
        <f>($Y$1*$AC157)*$N157</f>
        <v>174246</v>
      </c>
      <c r="AE157" s="71">
        <v>128.5</v>
      </c>
      <c r="AF157" s="71">
        <f>($Y$1*$AC157)*$N157</f>
        <v>174246</v>
      </c>
    </row>
    <row r="158" spans="2:32" s="57" customFormat="1" x14ac:dyDescent="0.2">
      <c r="B158" s="49">
        <f t="shared" si="59"/>
        <v>141</v>
      </c>
      <c r="C158" s="50" t="s">
        <v>22</v>
      </c>
      <c r="D158" s="50">
        <v>5000472</v>
      </c>
      <c r="E158" s="20" t="str">
        <f t="shared" si="58"/>
        <v>5000472</v>
      </c>
      <c r="F158" s="50" t="s">
        <v>11</v>
      </c>
      <c r="G158" s="50" t="s">
        <v>161</v>
      </c>
      <c r="H158" s="50" t="s">
        <v>448</v>
      </c>
      <c r="I158" s="50"/>
      <c r="J158" s="50" t="s">
        <v>162</v>
      </c>
      <c r="K158" s="50" t="s">
        <v>127</v>
      </c>
      <c r="L158" s="50"/>
      <c r="M158" s="50" t="s">
        <v>25</v>
      </c>
      <c r="N158" s="50">
        <v>0</v>
      </c>
      <c r="O158" s="50" t="s">
        <v>15</v>
      </c>
      <c r="P158" s="50"/>
      <c r="Q158" s="50" t="s">
        <v>397</v>
      </c>
      <c r="R158" s="50" t="s">
        <v>384</v>
      </c>
      <c r="S158" s="51" t="s">
        <v>774</v>
      </c>
      <c r="T158" s="52" t="s">
        <v>722</v>
      </c>
      <c r="U158" s="52" t="s">
        <v>720</v>
      </c>
      <c r="V158" s="79" t="s">
        <v>906</v>
      </c>
      <c r="W158" s="52" t="s">
        <v>811</v>
      </c>
      <c r="X158" s="52" t="s">
        <v>712</v>
      </c>
      <c r="Y158" s="50" t="s">
        <v>717</v>
      </c>
      <c r="Z158" s="72">
        <v>0</v>
      </c>
      <c r="AA158" s="72">
        <v>0</v>
      </c>
      <c r="AB158" s="72">
        <v>0</v>
      </c>
      <c r="AC158" s="72">
        <v>0</v>
      </c>
      <c r="AD158" s="72">
        <v>0</v>
      </c>
      <c r="AE158" s="72">
        <v>0</v>
      </c>
      <c r="AF158" s="72">
        <v>0</v>
      </c>
    </row>
    <row r="159" spans="2:32" s="57" customFormat="1" ht="27" x14ac:dyDescent="0.2">
      <c r="B159" s="49">
        <f t="shared" si="59"/>
        <v>142</v>
      </c>
      <c r="C159" s="50" t="s">
        <v>22</v>
      </c>
      <c r="D159" s="50">
        <v>510002007</v>
      </c>
      <c r="E159" s="20" t="str">
        <f t="shared" si="58"/>
        <v>510002007</v>
      </c>
      <c r="F159" s="50" t="s">
        <v>11</v>
      </c>
      <c r="G159" s="50" t="s">
        <v>34</v>
      </c>
      <c r="H159" s="50" t="s">
        <v>418</v>
      </c>
      <c r="I159" s="50"/>
      <c r="J159" s="50" t="s">
        <v>163</v>
      </c>
      <c r="K159" s="50" t="s">
        <v>68</v>
      </c>
      <c r="L159" s="50"/>
      <c r="M159" s="50" t="s">
        <v>21</v>
      </c>
      <c r="N159" s="50">
        <v>1</v>
      </c>
      <c r="O159" s="50" t="s">
        <v>15</v>
      </c>
      <c r="P159" s="50"/>
      <c r="Q159" s="50" t="s">
        <v>397</v>
      </c>
      <c r="R159" s="50" t="s">
        <v>384</v>
      </c>
      <c r="S159" s="51" t="s">
        <v>775</v>
      </c>
      <c r="T159" s="52" t="s">
        <v>793</v>
      </c>
      <c r="U159" s="52" t="s">
        <v>718</v>
      </c>
      <c r="V159" s="79" t="s">
        <v>907</v>
      </c>
      <c r="W159" s="52" t="s">
        <v>812</v>
      </c>
      <c r="X159" s="52" t="s">
        <v>712</v>
      </c>
      <c r="Y159" s="50" t="s">
        <v>717</v>
      </c>
      <c r="Z159" s="72">
        <v>0</v>
      </c>
      <c r="AA159" s="72">
        <v>0</v>
      </c>
      <c r="AB159" s="72">
        <v>0</v>
      </c>
      <c r="AC159" s="72">
        <v>0</v>
      </c>
      <c r="AD159" s="72">
        <v>0</v>
      </c>
      <c r="AE159" s="72">
        <v>0</v>
      </c>
      <c r="AF159" s="72">
        <v>0</v>
      </c>
    </row>
    <row r="160" spans="2:32" s="57" customFormat="1" x14ac:dyDescent="0.2">
      <c r="B160" s="49">
        <f t="shared" si="59"/>
        <v>143</v>
      </c>
      <c r="C160" s="50" t="s">
        <v>22</v>
      </c>
      <c r="D160" s="50">
        <v>510002688</v>
      </c>
      <c r="E160" s="20" t="str">
        <f t="shared" si="58"/>
        <v>510002688</v>
      </c>
      <c r="F160" s="50" t="s">
        <v>11</v>
      </c>
      <c r="G160" s="50" t="s">
        <v>23</v>
      </c>
      <c r="H160" s="50" t="s">
        <v>410</v>
      </c>
      <c r="I160" s="50"/>
      <c r="J160" s="50" t="s">
        <v>164</v>
      </c>
      <c r="K160" s="50" t="s">
        <v>70</v>
      </c>
      <c r="L160" s="50"/>
      <c r="M160" s="50" t="s">
        <v>21</v>
      </c>
      <c r="N160" s="50">
        <v>1</v>
      </c>
      <c r="O160" s="50" t="s">
        <v>15</v>
      </c>
      <c r="P160" s="50"/>
      <c r="Q160" s="50" t="s">
        <v>397</v>
      </c>
      <c r="R160" s="50" t="s">
        <v>384</v>
      </c>
      <c r="S160" s="51" t="s">
        <v>772</v>
      </c>
      <c r="T160" s="52" t="s">
        <v>738</v>
      </c>
      <c r="U160" s="52" t="s">
        <v>712</v>
      </c>
      <c r="V160" s="79" t="s">
        <v>908</v>
      </c>
      <c r="W160" s="52" t="s">
        <v>809</v>
      </c>
      <c r="X160" s="52" t="s">
        <v>712</v>
      </c>
      <c r="Y160" s="50" t="s">
        <v>717</v>
      </c>
      <c r="Z160" s="72">
        <v>0</v>
      </c>
      <c r="AA160" s="72">
        <v>0</v>
      </c>
      <c r="AB160" s="72">
        <v>0</v>
      </c>
      <c r="AC160" s="72">
        <v>0</v>
      </c>
      <c r="AD160" s="72">
        <v>0</v>
      </c>
      <c r="AE160" s="72">
        <v>0</v>
      </c>
      <c r="AF160" s="72">
        <v>0</v>
      </c>
    </row>
    <row r="161" spans="2:32" s="57" customFormat="1" x14ac:dyDescent="0.2">
      <c r="B161" s="49">
        <f t="shared" si="59"/>
        <v>144</v>
      </c>
      <c r="C161" s="50" t="s">
        <v>22</v>
      </c>
      <c r="D161" s="50">
        <v>510002690</v>
      </c>
      <c r="E161" s="20" t="str">
        <f t="shared" si="58"/>
        <v>510002690</v>
      </c>
      <c r="F161" s="50" t="s">
        <v>11</v>
      </c>
      <c r="G161" s="50" t="s">
        <v>34</v>
      </c>
      <c r="H161" s="50" t="s">
        <v>418</v>
      </c>
      <c r="I161" s="50"/>
      <c r="J161" s="50" t="s">
        <v>165</v>
      </c>
      <c r="K161" s="50" t="s">
        <v>83</v>
      </c>
      <c r="L161" s="50"/>
      <c r="M161" s="50" t="s">
        <v>21</v>
      </c>
      <c r="N161" s="50">
        <v>1</v>
      </c>
      <c r="O161" s="50" t="s">
        <v>15</v>
      </c>
      <c r="P161" s="50"/>
      <c r="Q161" s="50" t="s">
        <v>397</v>
      </c>
      <c r="R161" s="50" t="s">
        <v>384</v>
      </c>
      <c r="S161" s="51" t="s">
        <v>776</v>
      </c>
      <c r="T161" s="52" t="s">
        <v>793</v>
      </c>
      <c r="U161" s="52" t="s">
        <v>712</v>
      </c>
      <c r="V161" s="79" t="s">
        <v>909</v>
      </c>
      <c r="W161" s="52" t="s">
        <v>812</v>
      </c>
      <c r="X161" s="52" t="s">
        <v>712</v>
      </c>
      <c r="Y161" s="50" t="s">
        <v>717</v>
      </c>
      <c r="Z161" s="72">
        <v>0</v>
      </c>
      <c r="AA161" s="72">
        <v>0</v>
      </c>
      <c r="AB161" s="72">
        <v>0</v>
      </c>
      <c r="AC161" s="72">
        <v>0</v>
      </c>
      <c r="AD161" s="72">
        <v>0</v>
      </c>
      <c r="AE161" s="72">
        <v>0</v>
      </c>
      <c r="AF161" s="72">
        <v>0</v>
      </c>
    </row>
    <row r="162" spans="2:32" s="57" customFormat="1" x14ac:dyDescent="0.2">
      <c r="B162" s="49">
        <f t="shared" si="59"/>
        <v>145</v>
      </c>
      <c r="C162" s="50" t="s">
        <v>22</v>
      </c>
      <c r="D162" s="50">
        <v>570000905</v>
      </c>
      <c r="E162" s="20" t="str">
        <f t="shared" si="58"/>
        <v>570000905</v>
      </c>
      <c r="F162" s="50" t="s">
        <v>11</v>
      </c>
      <c r="G162" s="50" t="s">
        <v>23</v>
      </c>
      <c r="H162" s="50" t="s">
        <v>410</v>
      </c>
      <c r="I162" s="50"/>
      <c r="J162" s="50" t="s">
        <v>166</v>
      </c>
      <c r="K162" s="50" t="s">
        <v>106</v>
      </c>
      <c r="L162" s="50"/>
      <c r="M162" s="50" t="s">
        <v>21</v>
      </c>
      <c r="N162" s="50">
        <v>1</v>
      </c>
      <c r="O162" s="50" t="s">
        <v>15</v>
      </c>
      <c r="P162" s="50"/>
      <c r="Q162" s="50" t="s">
        <v>397</v>
      </c>
      <c r="R162" s="50" t="s">
        <v>384</v>
      </c>
      <c r="S162" s="51" t="s">
        <v>772</v>
      </c>
      <c r="T162" s="52" t="s">
        <v>738</v>
      </c>
      <c r="U162" s="52" t="s">
        <v>712</v>
      </c>
      <c r="V162" s="79" t="s">
        <v>910</v>
      </c>
      <c r="W162" s="52" t="s">
        <v>809</v>
      </c>
      <c r="X162" s="52" t="s">
        <v>712</v>
      </c>
      <c r="Y162" s="50" t="s">
        <v>717</v>
      </c>
      <c r="Z162" s="72">
        <v>0</v>
      </c>
      <c r="AA162" s="72">
        <v>0</v>
      </c>
      <c r="AB162" s="72">
        <v>0</v>
      </c>
      <c r="AC162" s="72">
        <v>0</v>
      </c>
      <c r="AD162" s="72">
        <v>0</v>
      </c>
      <c r="AE162" s="72">
        <v>0</v>
      </c>
      <c r="AF162" s="72">
        <v>0</v>
      </c>
    </row>
    <row r="163" spans="2:32" s="57" customFormat="1" ht="40.5" x14ac:dyDescent="0.2">
      <c r="B163" s="49">
        <f t="shared" si="59"/>
        <v>146</v>
      </c>
      <c r="C163" s="50" t="s">
        <v>22</v>
      </c>
      <c r="D163" s="50">
        <v>7500004</v>
      </c>
      <c r="E163" s="20" t="str">
        <f t="shared" si="58"/>
        <v>7500004</v>
      </c>
      <c r="F163" s="50" t="s">
        <v>11</v>
      </c>
      <c r="G163" s="50" t="s">
        <v>167</v>
      </c>
      <c r="H163" s="50" t="s">
        <v>449</v>
      </c>
      <c r="I163" s="50"/>
      <c r="J163" s="50" t="s">
        <v>168</v>
      </c>
      <c r="K163" s="50" t="s">
        <v>76</v>
      </c>
      <c r="L163" s="50"/>
      <c r="M163" s="50" t="s">
        <v>169</v>
      </c>
      <c r="N163" s="50">
        <v>0.5</v>
      </c>
      <c r="O163" s="50" t="s">
        <v>15</v>
      </c>
      <c r="P163" s="50"/>
      <c r="Q163" s="50" t="s">
        <v>397</v>
      </c>
      <c r="R163" s="50" t="s">
        <v>384</v>
      </c>
      <c r="S163" s="51" t="s">
        <v>777</v>
      </c>
      <c r="T163" s="52" t="s">
        <v>721</v>
      </c>
      <c r="U163" s="52" t="s">
        <v>712</v>
      </c>
      <c r="V163" s="79" t="s">
        <v>946</v>
      </c>
      <c r="W163" s="52" t="s">
        <v>813</v>
      </c>
      <c r="X163" s="52" t="s">
        <v>712</v>
      </c>
      <c r="Y163" s="50" t="s">
        <v>717</v>
      </c>
      <c r="Z163" s="72">
        <v>0</v>
      </c>
      <c r="AA163" s="72">
        <v>0</v>
      </c>
      <c r="AB163" s="72">
        <v>0</v>
      </c>
      <c r="AC163" s="72">
        <v>0</v>
      </c>
      <c r="AD163" s="72">
        <v>0</v>
      </c>
      <c r="AE163" s="72">
        <v>0</v>
      </c>
      <c r="AF163" s="72">
        <v>0</v>
      </c>
    </row>
    <row r="164" spans="2:32" s="57" customFormat="1" x14ac:dyDescent="0.2">
      <c r="B164" s="49">
        <f t="shared" si="59"/>
        <v>147</v>
      </c>
      <c r="C164" s="50" t="s">
        <v>22</v>
      </c>
      <c r="D164" s="50">
        <v>770000693</v>
      </c>
      <c r="E164" s="20" t="str">
        <f t="shared" si="58"/>
        <v>770000693</v>
      </c>
      <c r="F164" s="50" t="s">
        <v>11</v>
      </c>
      <c r="G164" s="50" t="s">
        <v>159</v>
      </c>
      <c r="H164" s="50" t="s">
        <v>447</v>
      </c>
      <c r="I164" s="50"/>
      <c r="J164" s="50" t="s">
        <v>170</v>
      </c>
      <c r="K164" s="50" t="s">
        <v>77</v>
      </c>
      <c r="L164" s="50"/>
      <c r="M164" s="50" t="s">
        <v>171</v>
      </c>
      <c r="N164" s="50">
        <v>3.2</v>
      </c>
      <c r="O164" s="50" t="s">
        <v>15</v>
      </c>
      <c r="P164" s="50"/>
      <c r="Q164" s="50" t="s">
        <v>397</v>
      </c>
      <c r="R164" s="50" t="s">
        <v>384</v>
      </c>
      <c r="S164" s="51" t="s">
        <v>778</v>
      </c>
      <c r="T164" s="52" t="s">
        <v>721</v>
      </c>
      <c r="U164" s="52" t="s">
        <v>718</v>
      </c>
      <c r="V164" s="79" t="s">
        <v>964</v>
      </c>
      <c r="W164" s="52" t="s">
        <v>813</v>
      </c>
      <c r="X164" s="52" t="s">
        <v>712</v>
      </c>
      <c r="Y164" s="50" t="s">
        <v>717</v>
      </c>
      <c r="Z164" s="72">
        <v>0</v>
      </c>
      <c r="AA164" s="72">
        <v>0</v>
      </c>
      <c r="AB164" s="72">
        <v>0</v>
      </c>
      <c r="AC164" s="72">
        <v>0</v>
      </c>
      <c r="AD164" s="72">
        <v>0</v>
      </c>
      <c r="AE164" s="72">
        <v>0</v>
      </c>
      <c r="AF164" s="72">
        <v>0</v>
      </c>
    </row>
    <row r="165" spans="2:32" s="57" customFormat="1" x14ac:dyDescent="0.2">
      <c r="B165" s="49">
        <f t="shared" si="59"/>
        <v>148</v>
      </c>
      <c r="C165" s="50" t="s">
        <v>22</v>
      </c>
      <c r="D165" s="50">
        <v>8606757</v>
      </c>
      <c r="E165" s="20" t="str">
        <f t="shared" si="58"/>
        <v>8606757</v>
      </c>
      <c r="F165" s="50" t="s">
        <v>11</v>
      </c>
      <c r="G165" s="50" t="s">
        <v>172</v>
      </c>
      <c r="H165" s="50" t="s">
        <v>450</v>
      </c>
      <c r="I165" s="50"/>
      <c r="J165" s="50" t="s">
        <v>173</v>
      </c>
      <c r="K165" s="50" t="s">
        <v>93</v>
      </c>
      <c r="L165" s="50"/>
      <c r="M165" s="50" t="s">
        <v>25</v>
      </c>
      <c r="N165" s="50">
        <v>0</v>
      </c>
      <c r="O165" s="50" t="s">
        <v>38</v>
      </c>
      <c r="P165" s="50"/>
      <c r="Q165" s="50" t="s">
        <v>397</v>
      </c>
      <c r="R165" s="50" t="s">
        <v>384</v>
      </c>
      <c r="S165" s="51" t="s">
        <v>712</v>
      </c>
      <c r="T165" s="52" t="s">
        <v>712</v>
      </c>
      <c r="U165" s="52" t="s">
        <v>712</v>
      </c>
      <c r="V165" s="79" t="s">
        <v>911</v>
      </c>
      <c r="W165" s="52" t="s">
        <v>712</v>
      </c>
      <c r="X165" s="52" t="s">
        <v>712</v>
      </c>
      <c r="Y165" s="50" t="s">
        <v>717</v>
      </c>
      <c r="Z165" s="72">
        <v>0</v>
      </c>
      <c r="AA165" s="72">
        <v>0</v>
      </c>
      <c r="AB165" s="72">
        <v>0</v>
      </c>
      <c r="AC165" s="72">
        <v>0</v>
      </c>
      <c r="AD165" s="72">
        <v>0</v>
      </c>
      <c r="AE165" s="72">
        <v>0</v>
      </c>
      <c r="AF165" s="72">
        <v>0</v>
      </c>
    </row>
    <row r="166" spans="2:32" s="57" customFormat="1" x14ac:dyDescent="0.2">
      <c r="B166" s="49">
        <f t="shared" si="59"/>
        <v>149</v>
      </c>
      <c r="C166" s="50" t="s">
        <v>22</v>
      </c>
      <c r="D166" s="50">
        <v>880000356</v>
      </c>
      <c r="E166" s="20" t="str">
        <f t="shared" si="58"/>
        <v>880000356</v>
      </c>
      <c r="F166" s="50" t="s">
        <v>11</v>
      </c>
      <c r="G166" s="50" t="s">
        <v>174</v>
      </c>
      <c r="H166" s="50" t="s">
        <v>451</v>
      </c>
      <c r="I166" s="50"/>
      <c r="J166" s="50" t="s">
        <v>175</v>
      </c>
      <c r="K166" s="50" t="s">
        <v>96</v>
      </c>
      <c r="L166" s="50"/>
      <c r="M166" s="50" t="s">
        <v>25</v>
      </c>
      <c r="N166" s="50">
        <v>0</v>
      </c>
      <c r="O166" s="50" t="s">
        <v>15</v>
      </c>
      <c r="P166" s="50"/>
      <c r="Q166" s="50" t="s">
        <v>397</v>
      </c>
      <c r="R166" s="50" t="s">
        <v>384</v>
      </c>
      <c r="S166" s="51" t="s">
        <v>712</v>
      </c>
      <c r="T166" s="52" t="s">
        <v>712</v>
      </c>
      <c r="U166" s="52" t="s">
        <v>712</v>
      </c>
      <c r="V166" s="79" t="s">
        <v>912</v>
      </c>
      <c r="W166" s="52" t="s">
        <v>712</v>
      </c>
      <c r="X166" s="52" t="s">
        <v>712</v>
      </c>
      <c r="Y166" s="50" t="s">
        <v>717</v>
      </c>
      <c r="Z166" s="72">
        <v>0</v>
      </c>
      <c r="AA166" s="72">
        <v>0</v>
      </c>
      <c r="AB166" s="72">
        <v>0</v>
      </c>
      <c r="AC166" s="72">
        <v>0</v>
      </c>
      <c r="AD166" s="72">
        <v>0</v>
      </c>
      <c r="AE166" s="72">
        <v>0</v>
      </c>
      <c r="AF166" s="72">
        <v>0</v>
      </c>
    </row>
    <row r="167" spans="2:32" s="57" customFormat="1" x14ac:dyDescent="0.2">
      <c r="B167" s="49">
        <f t="shared" si="59"/>
        <v>150</v>
      </c>
      <c r="C167" s="50" t="s">
        <v>22</v>
      </c>
      <c r="D167" s="50">
        <v>8800222</v>
      </c>
      <c r="E167" s="20" t="str">
        <f t="shared" si="58"/>
        <v>8800222</v>
      </c>
      <c r="F167" s="50" t="s">
        <v>11</v>
      </c>
      <c r="G167" s="50" t="s">
        <v>176</v>
      </c>
      <c r="H167" s="50" t="s">
        <v>452</v>
      </c>
      <c r="I167" s="50"/>
      <c r="J167" s="50" t="s">
        <v>177</v>
      </c>
      <c r="K167" s="50" t="s">
        <v>72</v>
      </c>
      <c r="L167" s="50"/>
      <c r="M167" s="50" t="s">
        <v>25</v>
      </c>
      <c r="N167" s="50">
        <v>0</v>
      </c>
      <c r="O167" s="50" t="s">
        <v>38</v>
      </c>
      <c r="P167" s="50"/>
      <c r="Q167" s="50" t="s">
        <v>397</v>
      </c>
      <c r="R167" s="50" t="s">
        <v>384</v>
      </c>
      <c r="S167" s="51" t="s">
        <v>712</v>
      </c>
      <c r="T167" s="52" t="s">
        <v>712</v>
      </c>
      <c r="U167" s="52" t="s">
        <v>712</v>
      </c>
      <c r="V167" s="79" t="s">
        <v>741</v>
      </c>
      <c r="W167" s="52" t="s">
        <v>712</v>
      </c>
      <c r="X167" s="52" t="s">
        <v>712</v>
      </c>
      <c r="Y167" s="50" t="s">
        <v>717</v>
      </c>
      <c r="Z167" s="72">
        <v>0</v>
      </c>
      <c r="AA167" s="72">
        <v>0</v>
      </c>
      <c r="AB167" s="72">
        <v>0</v>
      </c>
      <c r="AC167" s="72">
        <v>0</v>
      </c>
      <c r="AD167" s="72">
        <v>0</v>
      </c>
      <c r="AE167" s="72">
        <v>0</v>
      </c>
      <c r="AF167" s="72">
        <v>0</v>
      </c>
    </row>
    <row r="168" spans="2:32" s="57" customFormat="1" ht="405" x14ac:dyDescent="0.2">
      <c r="B168" s="19">
        <f t="shared" si="59"/>
        <v>151</v>
      </c>
      <c r="C168" s="18" t="s">
        <v>16</v>
      </c>
      <c r="D168" s="18">
        <v>160214126</v>
      </c>
      <c r="E168" s="18" t="str">
        <f t="shared" si="58"/>
        <v>160214126</v>
      </c>
      <c r="F168" s="18" t="s">
        <v>11</v>
      </c>
      <c r="G168" s="26" t="s">
        <v>50</v>
      </c>
      <c r="H168" s="26" t="s">
        <v>437</v>
      </c>
      <c r="I168" s="18" t="s">
        <v>528</v>
      </c>
      <c r="J168" s="18" t="s">
        <v>178</v>
      </c>
      <c r="K168" s="18" t="s">
        <v>14</v>
      </c>
      <c r="L168" s="18"/>
      <c r="M168" s="18" t="s">
        <v>21</v>
      </c>
      <c r="N168" s="18">
        <v>1</v>
      </c>
      <c r="O168" s="18" t="s">
        <v>38</v>
      </c>
      <c r="P168" s="18"/>
      <c r="Q168" s="18" t="s">
        <v>393</v>
      </c>
      <c r="R168" s="18" t="s">
        <v>400</v>
      </c>
      <c r="S168" s="55" t="s">
        <v>779</v>
      </c>
      <c r="T168" s="56" t="s">
        <v>721</v>
      </c>
      <c r="U168" s="56" t="s">
        <v>712</v>
      </c>
      <c r="V168" s="76" t="s">
        <v>959</v>
      </c>
      <c r="W168" s="56" t="s">
        <v>810</v>
      </c>
      <c r="X168" s="56" t="s">
        <v>751</v>
      </c>
      <c r="Y168" s="18" t="s">
        <v>843</v>
      </c>
      <c r="Z168" s="73">
        <v>1452363.5</v>
      </c>
      <c r="AA168" s="73">
        <v>1099</v>
      </c>
      <c r="AB168" s="73">
        <v>1593550</v>
      </c>
      <c r="AC168" s="73">
        <v>1099</v>
      </c>
      <c r="AD168" s="73">
        <f>($Y$1*$AC168)*$N168</f>
        <v>1490244</v>
      </c>
      <c r="AE168" s="73">
        <v>1099</v>
      </c>
      <c r="AF168" s="73">
        <f>($Y$1*$AC168)*$N168</f>
        <v>1490244</v>
      </c>
    </row>
    <row r="169" spans="2:32" s="57" customFormat="1" ht="54" x14ac:dyDescent="0.2">
      <c r="B169" s="49">
        <f t="shared" si="59"/>
        <v>152</v>
      </c>
      <c r="C169" s="50" t="s">
        <v>22</v>
      </c>
      <c r="D169" s="50">
        <v>4501115</v>
      </c>
      <c r="E169" s="20" t="str">
        <f t="shared" si="58"/>
        <v>4501115</v>
      </c>
      <c r="F169" s="50" t="s">
        <v>11</v>
      </c>
      <c r="G169" s="50" t="s">
        <v>109</v>
      </c>
      <c r="H169" s="50" t="s">
        <v>432</v>
      </c>
      <c r="I169" s="50"/>
      <c r="J169" s="50" t="s">
        <v>179</v>
      </c>
      <c r="K169" s="50" t="s">
        <v>14</v>
      </c>
      <c r="L169" s="50"/>
      <c r="M169" s="50" t="s">
        <v>55</v>
      </c>
      <c r="N169" s="50">
        <v>4</v>
      </c>
      <c r="O169" s="50" t="s">
        <v>15</v>
      </c>
      <c r="P169" s="50"/>
      <c r="Q169" s="50" t="s">
        <v>397</v>
      </c>
      <c r="R169" s="50" t="s">
        <v>384</v>
      </c>
      <c r="S169" s="51" t="s">
        <v>780</v>
      </c>
      <c r="T169" s="52" t="s">
        <v>793</v>
      </c>
      <c r="U169" s="52" t="s">
        <v>720</v>
      </c>
      <c r="V169" s="79" t="s">
        <v>913</v>
      </c>
      <c r="W169" s="52" t="s">
        <v>814</v>
      </c>
      <c r="X169" s="52" t="s">
        <v>712</v>
      </c>
      <c r="Y169" s="50" t="s">
        <v>717</v>
      </c>
      <c r="Z169" s="72">
        <v>0</v>
      </c>
      <c r="AA169" s="72">
        <v>0</v>
      </c>
      <c r="AB169" s="72">
        <v>0</v>
      </c>
      <c r="AC169" s="72">
        <v>0</v>
      </c>
      <c r="AD169" s="72">
        <v>0</v>
      </c>
      <c r="AE169" s="72">
        <v>0</v>
      </c>
      <c r="AF169" s="72">
        <v>0</v>
      </c>
    </row>
    <row r="170" spans="2:32" s="57" customFormat="1" x14ac:dyDescent="0.2">
      <c r="B170" s="49">
        <f t="shared" si="59"/>
        <v>153</v>
      </c>
      <c r="C170" s="50" t="s">
        <v>22</v>
      </c>
      <c r="D170" s="50">
        <v>4501116</v>
      </c>
      <c r="E170" s="20" t="str">
        <f t="shared" si="58"/>
        <v>4501116</v>
      </c>
      <c r="F170" s="50" t="s">
        <v>11</v>
      </c>
      <c r="G170" s="50" t="s">
        <v>34</v>
      </c>
      <c r="H170" s="50" t="s">
        <v>418</v>
      </c>
      <c r="I170" s="50"/>
      <c r="J170" s="50" t="s">
        <v>52</v>
      </c>
      <c r="K170" s="50" t="s">
        <v>14</v>
      </c>
      <c r="L170" s="50"/>
      <c r="M170" s="50" t="s">
        <v>55</v>
      </c>
      <c r="N170" s="50">
        <v>4</v>
      </c>
      <c r="O170" s="50" t="s">
        <v>15</v>
      </c>
      <c r="P170" s="50"/>
      <c r="Q170" s="50" t="s">
        <v>397</v>
      </c>
      <c r="R170" s="50" t="s">
        <v>384</v>
      </c>
      <c r="S170" s="51" t="s">
        <v>712</v>
      </c>
      <c r="T170" s="52" t="s">
        <v>722</v>
      </c>
      <c r="U170" s="52" t="s">
        <v>712</v>
      </c>
      <c r="V170" s="79" t="s">
        <v>826</v>
      </c>
      <c r="W170" s="52" t="s">
        <v>815</v>
      </c>
      <c r="X170" s="52" t="s">
        <v>751</v>
      </c>
      <c r="Y170" s="50" t="s">
        <v>717</v>
      </c>
      <c r="Z170" s="72">
        <v>0</v>
      </c>
      <c r="AA170" s="72">
        <v>75</v>
      </c>
      <c r="AB170" s="72">
        <v>0</v>
      </c>
      <c r="AC170" s="72">
        <v>75</v>
      </c>
      <c r="AD170" s="72">
        <v>0</v>
      </c>
      <c r="AE170" s="72">
        <v>75</v>
      </c>
      <c r="AF170" s="72">
        <v>0</v>
      </c>
    </row>
    <row r="171" spans="2:32" s="57" customFormat="1" x14ac:dyDescent="0.2">
      <c r="B171" s="49">
        <f t="shared" si="59"/>
        <v>154</v>
      </c>
      <c r="C171" s="50" t="s">
        <v>22</v>
      </c>
      <c r="D171" s="50">
        <v>5000471</v>
      </c>
      <c r="E171" s="20" t="str">
        <f t="shared" si="58"/>
        <v>5000471</v>
      </c>
      <c r="F171" s="50" t="s">
        <v>11</v>
      </c>
      <c r="G171" s="50" t="s">
        <v>180</v>
      </c>
      <c r="H171" s="50" t="s">
        <v>453</v>
      </c>
      <c r="I171" s="50"/>
      <c r="J171" s="50" t="s">
        <v>181</v>
      </c>
      <c r="K171" s="50" t="s">
        <v>14</v>
      </c>
      <c r="L171" s="50"/>
      <c r="M171" s="50" t="s">
        <v>25</v>
      </c>
      <c r="N171" s="50">
        <v>0</v>
      </c>
      <c r="O171" s="50" t="s">
        <v>15</v>
      </c>
      <c r="P171" s="50"/>
      <c r="Q171" s="50" t="s">
        <v>397</v>
      </c>
      <c r="R171" s="50" t="s">
        <v>384</v>
      </c>
      <c r="S171" s="51" t="s">
        <v>774</v>
      </c>
      <c r="T171" s="52" t="s">
        <v>722</v>
      </c>
      <c r="U171" s="52" t="s">
        <v>720</v>
      </c>
      <c r="V171" s="79" t="s">
        <v>887</v>
      </c>
      <c r="W171" s="52" t="s">
        <v>811</v>
      </c>
      <c r="X171" s="52" t="s">
        <v>712</v>
      </c>
      <c r="Y171" s="50" t="s">
        <v>717</v>
      </c>
      <c r="Z171" s="72">
        <v>0</v>
      </c>
      <c r="AA171" s="72">
        <v>0</v>
      </c>
      <c r="AB171" s="72">
        <v>0</v>
      </c>
      <c r="AC171" s="72">
        <v>0</v>
      </c>
      <c r="AD171" s="72">
        <v>0</v>
      </c>
      <c r="AE171" s="72">
        <v>0</v>
      </c>
      <c r="AF171" s="72">
        <v>0</v>
      </c>
    </row>
    <row r="172" spans="2:32" s="57" customFormat="1" x14ac:dyDescent="0.2">
      <c r="B172" s="49">
        <f t="shared" si="59"/>
        <v>155</v>
      </c>
      <c r="C172" s="50" t="s">
        <v>22</v>
      </c>
      <c r="D172" s="50">
        <v>510000193</v>
      </c>
      <c r="E172" s="20" t="str">
        <f t="shared" si="58"/>
        <v>510000193</v>
      </c>
      <c r="F172" s="50" t="s">
        <v>11</v>
      </c>
      <c r="G172" s="50" t="s">
        <v>34</v>
      </c>
      <c r="H172" s="50" t="s">
        <v>418</v>
      </c>
      <c r="I172" s="50"/>
      <c r="J172" s="50" t="s">
        <v>182</v>
      </c>
      <c r="K172" s="50" t="s">
        <v>14</v>
      </c>
      <c r="L172" s="50"/>
      <c r="M172" s="50" t="s">
        <v>21</v>
      </c>
      <c r="N172" s="50">
        <v>1</v>
      </c>
      <c r="O172" s="50" t="s">
        <v>15</v>
      </c>
      <c r="P172" s="50"/>
      <c r="Q172" s="50" t="s">
        <v>397</v>
      </c>
      <c r="R172" s="50" t="s">
        <v>384</v>
      </c>
      <c r="S172" s="51" t="s">
        <v>781</v>
      </c>
      <c r="T172" s="52" t="s">
        <v>793</v>
      </c>
      <c r="U172" s="52" t="s">
        <v>712</v>
      </c>
      <c r="V172" s="79" t="s">
        <v>914</v>
      </c>
      <c r="W172" s="52" t="s">
        <v>816</v>
      </c>
      <c r="X172" s="52" t="s">
        <v>712</v>
      </c>
      <c r="Y172" s="50" t="s">
        <v>717</v>
      </c>
      <c r="Z172" s="72">
        <v>0</v>
      </c>
      <c r="AA172" s="72">
        <v>0</v>
      </c>
      <c r="AB172" s="72">
        <v>0</v>
      </c>
      <c r="AC172" s="72">
        <v>0</v>
      </c>
      <c r="AD172" s="72">
        <v>0</v>
      </c>
      <c r="AE172" s="72">
        <v>0</v>
      </c>
      <c r="AF172" s="72">
        <v>0</v>
      </c>
    </row>
    <row r="173" spans="2:32" s="57" customFormat="1" ht="27" x14ac:dyDescent="0.2">
      <c r="B173" s="49">
        <f t="shared" si="59"/>
        <v>156</v>
      </c>
      <c r="C173" s="50" t="s">
        <v>22</v>
      </c>
      <c r="D173" s="50">
        <v>510002465</v>
      </c>
      <c r="E173" s="20" t="str">
        <f t="shared" si="58"/>
        <v>510002465</v>
      </c>
      <c r="F173" s="50" t="s">
        <v>11</v>
      </c>
      <c r="G173" s="50" t="s">
        <v>183</v>
      </c>
      <c r="H173" s="50" t="s">
        <v>454</v>
      </c>
      <c r="I173" s="50"/>
      <c r="J173" s="50" t="s">
        <v>184</v>
      </c>
      <c r="K173" s="50" t="s">
        <v>14</v>
      </c>
      <c r="L173" s="50"/>
      <c r="M173" s="50" t="s">
        <v>18</v>
      </c>
      <c r="N173" s="50">
        <v>2</v>
      </c>
      <c r="O173" s="50" t="s">
        <v>15</v>
      </c>
      <c r="P173" s="50"/>
      <c r="Q173" s="50" t="s">
        <v>397</v>
      </c>
      <c r="R173" s="50" t="s">
        <v>384</v>
      </c>
      <c r="S173" s="51" t="s">
        <v>782</v>
      </c>
      <c r="T173" s="52" t="s">
        <v>836</v>
      </c>
      <c r="U173" s="52" t="s">
        <v>712</v>
      </c>
      <c r="V173" s="79" t="s">
        <v>963</v>
      </c>
      <c r="W173" s="52" t="s">
        <v>806</v>
      </c>
      <c r="X173" s="52" t="s">
        <v>712</v>
      </c>
      <c r="Y173" s="50" t="s">
        <v>717</v>
      </c>
      <c r="Z173" s="72">
        <v>0</v>
      </c>
      <c r="AA173" s="72">
        <v>0</v>
      </c>
      <c r="AB173" s="72">
        <v>0</v>
      </c>
      <c r="AC173" s="72">
        <v>0</v>
      </c>
      <c r="AD173" s="72">
        <v>0</v>
      </c>
      <c r="AE173" s="72">
        <v>0</v>
      </c>
      <c r="AF173" s="72">
        <v>0</v>
      </c>
    </row>
    <row r="174" spans="2:32" s="57" customFormat="1" x14ac:dyDescent="0.2">
      <c r="B174" s="49">
        <f t="shared" si="59"/>
        <v>157</v>
      </c>
      <c r="C174" s="50" t="s">
        <v>22</v>
      </c>
      <c r="D174" s="50">
        <v>5101288</v>
      </c>
      <c r="E174" s="20" t="str">
        <f t="shared" si="58"/>
        <v>5101288</v>
      </c>
      <c r="F174" s="50" t="s">
        <v>11</v>
      </c>
      <c r="G174" s="50" t="s">
        <v>134</v>
      </c>
      <c r="H174" s="50" t="s">
        <v>455</v>
      </c>
      <c r="I174" s="50"/>
      <c r="J174" s="50" t="s">
        <v>185</v>
      </c>
      <c r="K174" s="50" t="s">
        <v>14</v>
      </c>
      <c r="L174" s="50"/>
      <c r="M174" s="50" t="s">
        <v>21</v>
      </c>
      <c r="N174" s="50">
        <v>1</v>
      </c>
      <c r="O174" s="50" t="s">
        <v>15</v>
      </c>
      <c r="P174" s="50"/>
      <c r="Q174" s="50" t="s">
        <v>397</v>
      </c>
      <c r="R174" s="50" t="s">
        <v>384</v>
      </c>
      <c r="S174" s="51" t="s">
        <v>781</v>
      </c>
      <c r="T174" s="52" t="s">
        <v>793</v>
      </c>
      <c r="U174" s="52" t="s">
        <v>712</v>
      </c>
      <c r="V174" s="79" t="s">
        <v>929</v>
      </c>
      <c r="W174" s="52" t="s">
        <v>816</v>
      </c>
      <c r="X174" s="52" t="s">
        <v>712</v>
      </c>
      <c r="Y174" s="50" t="s">
        <v>717</v>
      </c>
      <c r="Z174" s="72">
        <v>0</v>
      </c>
      <c r="AA174" s="72">
        <v>0</v>
      </c>
      <c r="AB174" s="72">
        <v>0</v>
      </c>
      <c r="AC174" s="72">
        <v>0</v>
      </c>
      <c r="AD174" s="72">
        <v>0</v>
      </c>
      <c r="AE174" s="72">
        <v>0</v>
      </c>
      <c r="AF174" s="72">
        <v>0</v>
      </c>
    </row>
    <row r="175" spans="2:32" s="57" customFormat="1" x14ac:dyDescent="0.2">
      <c r="B175" s="49">
        <f t="shared" si="59"/>
        <v>158</v>
      </c>
      <c r="C175" s="50" t="s">
        <v>22</v>
      </c>
      <c r="D175" s="50">
        <v>5101290</v>
      </c>
      <c r="E175" s="20" t="str">
        <f t="shared" si="58"/>
        <v>5101290</v>
      </c>
      <c r="F175" s="50" t="s">
        <v>11</v>
      </c>
      <c r="G175" s="50" t="s">
        <v>186</v>
      </c>
      <c r="H175" s="50" t="s">
        <v>456</v>
      </c>
      <c r="I175" s="50"/>
      <c r="J175" s="50" t="s">
        <v>187</v>
      </c>
      <c r="K175" s="50" t="s">
        <v>14</v>
      </c>
      <c r="L175" s="50"/>
      <c r="M175" s="50" t="s">
        <v>21</v>
      </c>
      <c r="N175" s="50">
        <v>1</v>
      </c>
      <c r="O175" s="50" t="s">
        <v>15</v>
      </c>
      <c r="P175" s="50"/>
      <c r="Q175" s="50" t="s">
        <v>397</v>
      </c>
      <c r="R175" s="50" t="s">
        <v>384</v>
      </c>
      <c r="S175" s="51" t="s">
        <v>783</v>
      </c>
      <c r="T175" s="52" t="s">
        <v>793</v>
      </c>
      <c r="U175" s="52" t="s">
        <v>712</v>
      </c>
      <c r="V175" s="79" t="s">
        <v>930</v>
      </c>
      <c r="W175" s="52" t="s">
        <v>816</v>
      </c>
      <c r="X175" s="52" t="s">
        <v>712</v>
      </c>
      <c r="Y175" s="50" t="s">
        <v>717</v>
      </c>
      <c r="Z175" s="72">
        <v>0</v>
      </c>
      <c r="AA175" s="72">
        <v>0</v>
      </c>
      <c r="AB175" s="72">
        <v>0</v>
      </c>
      <c r="AC175" s="72">
        <v>0</v>
      </c>
      <c r="AD175" s="72">
        <v>0</v>
      </c>
      <c r="AE175" s="72">
        <v>0</v>
      </c>
      <c r="AF175" s="72">
        <v>0</v>
      </c>
    </row>
    <row r="176" spans="2:32" s="57" customFormat="1" ht="27" x14ac:dyDescent="0.2">
      <c r="B176" s="49">
        <f t="shared" si="59"/>
        <v>159</v>
      </c>
      <c r="C176" s="50" t="s">
        <v>22</v>
      </c>
      <c r="D176" s="50">
        <v>5101521</v>
      </c>
      <c r="E176" s="20" t="str">
        <f t="shared" si="58"/>
        <v>5101521</v>
      </c>
      <c r="F176" s="50" t="s">
        <v>11</v>
      </c>
      <c r="G176" s="50" t="s">
        <v>188</v>
      </c>
      <c r="H176" s="50" t="s">
        <v>440</v>
      </c>
      <c r="I176" s="50"/>
      <c r="J176" s="50" t="s">
        <v>189</v>
      </c>
      <c r="K176" s="50" t="s">
        <v>14</v>
      </c>
      <c r="L176" s="50"/>
      <c r="M176" s="50" t="s">
        <v>132</v>
      </c>
      <c r="N176" s="50">
        <v>8</v>
      </c>
      <c r="O176" s="50" t="s">
        <v>15</v>
      </c>
      <c r="P176" s="50"/>
      <c r="Q176" s="50" t="s">
        <v>397</v>
      </c>
      <c r="R176" s="50" t="s">
        <v>383</v>
      </c>
      <c r="S176" s="51" t="s">
        <v>781</v>
      </c>
      <c r="T176" s="52" t="s">
        <v>793</v>
      </c>
      <c r="U176" s="52" t="s">
        <v>718</v>
      </c>
      <c r="V176" s="79" t="s">
        <v>931</v>
      </c>
      <c r="W176" s="52" t="s">
        <v>816</v>
      </c>
      <c r="X176" s="52" t="s">
        <v>712</v>
      </c>
      <c r="Y176" s="50" t="s">
        <v>717</v>
      </c>
      <c r="Z176" s="72">
        <v>0</v>
      </c>
      <c r="AA176" s="72">
        <v>0</v>
      </c>
      <c r="AB176" s="72">
        <v>0</v>
      </c>
      <c r="AC176" s="72">
        <v>0</v>
      </c>
      <c r="AD176" s="72">
        <v>0</v>
      </c>
      <c r="AE176" s="72">
        <v>0</v>
      </c>
      <c r="AF176" s="72">
        <v>0</v>
      </c>
    </row>
    <row r="177" spans="2:32" s="57" customFormat="1" ht="27" x14ac:dyDescent="0.2">
      <c r="B177" s="49">
        <f t="shared" si="59"/>
        <v>160</v>
      </c>
      <c r="C177" s="50" t="s">
        <v>22</v>
      </c>
      <c r="D177" s="50">
        <v>5101522</v>
      </c>
      <c r="E177" s="20" t="str">
        <f t="shared" si="58"/>
        <v>5101522</v>
      </c>
      <c r="F177" s="50" t="s">
        <v>11</v>
      </c>
      <c r="G177" s="50" t="s">
        <v>58</v>
      </c>
      <c r="H177" s="50" t="s">
        <v>421</v>
      </c>
      <c r="I177" s="50"/>
      <c r="J177" s="50" t="s">
        <v>59</v>
      </c>
      <c r="K177" s="50" t="s">
        <v>14</v>
      </c>
      <c r="L177" s="50"/>
      <c r="M177" s="50" t="s">
        <v>190</v>
      </c>
      <c r="N177" s="50">
        <v>5</v>
      </c>
      <c r="O177" s="50" t="s">
        <v>15</v>
      </c>
      <c r="P177" s="50"/>
      <c r="Q177" s="50" t="s">
        <v>397</v>
      </c>
      <c r="R177" s="50" t="s">
        <v>384</v>
      </c>
      <c r="S177" s="51" t="s">
        <v>784</v>
      </c>
      <c r="T177" s="52" t="s">
        <v>793</v>
      </c>
      <c r="U177" s="52" t="s">
        <v>718</v>
      </c>
      <c r="V177" s="79" t="s">
        <v>925</v>
      </c>
      <c r="W177" s="52" t="s">
        <v>816</v>
      </c>
      <c r="X177" s="52" t="s">
        <v>751</v>
      </c>
      <c r="Y177" s="50" t="s">
        <v>717</v>
      </c>
      <c r="Z177" s="72">
        <v>0</v>
      </c>
      <c r="AA177" s="72">
        <v>120</v>
      </c>
      <c r="AB177" s="72">
        <v>0</v>
      </c>
      <c r="AC177" s="72">
        <v>120</v>
      </c>
      <c r="AD177" s="72">
        <v>0</v>
      </c>
      <c r="AE177" s="72">
        <v>120</v>
      </c>
      <c r="AF177" s="72">
        <v>0</v>
      </c>
    </row>
    <row r="178" spans="2:32" s="57" customFormat="1" x14ac:dyDescent="0.2">
      <c r="B178" s="49">
        <f t="shared" si="59"/>
        <v>161</v>
      </c>
      <c r="C178" s="50" t="s">
        <v>22</v>
      </c>
      <c r="D178" s="50">
        <v>5101787</v>
      </c>
      <c r="E178" s="20" t="str">
        <f t="shared" si="58"/>
        <v>5101787</v>
      </c>
      <c r="F178" s="50" t="s">
        <v>11</v>
      </c>
      <c r="G178" s="50" t="s">
        <v>186</v>
      </c>
      <c r="H178" s="50" t="s">
        <v>456</v>
      </c>
      <c r="I178" s="50"/>
      <c r="J178" s="50" t="s">
        <v>191</v>
      </c>
      <c r="K178" s="50" t="s">
        <v>14</v>
      </c>
      <c r="L178" s="50"/>
      <c r="M178" s="50" t="s">
        <v>18</v>
      </c>
      <c r="N178" s="50">
        <v>2</v>
      </c>
      <c r="O178" s="50" t="s">
        <v>15</v>
      </c>
      <c r="P178" s="50"/>
      <c r="Q178" s="50" t="s">
        <v>397</v>
      </c>
      <c r="R178" s="50" t="s">
        <v>383</v>
      </c>
      <c r="S178" s="51" t="s">
        <v>783</v>
      </c>
      <c r="T178" s="52" t="s">
        <v>793</v>
      </c>
      <c r="U178" s="52" t="s">
        <v>712</v>
      </c>
      <c r="V178" s="79" t="s">
        <v>932</v>
      </c>
      <c r="W178" s="52" t="s">
        <v>816</v>
      </c>
      <c r="X178" s="52" t="s">
        <v>712</v>
      </c>
      <c r="Y178" s="50" t="s">
        <v>717</v>
      </c>
      <c r="Z178" s="72">
        <v>0</v>
      </c>
      <c r="AA178" s="72">
        <v>0</v>
      </c>
      <c r="AB178" s="72">
        <v>0</v>
      </c>
      <c r="AC178" s="72">
        <v>0</v>
      </c>
      <c r="AD178" s="72">
        <v>0</v>
      </c>
      <c r="AE178" s="72">
        <v>0</v>
      </c>
      <c r="AF178" s="72">
        <v>0</v>
      </c>
    </row>
    <row r="179" spans="2:32" s="57" customFormat="1" ht="27" x14ac:dyDescent="0.2">
      <c r="B179" s="49">
        <f t="shared" si="59"/>
        <v>162</v>
      </c>
      <c r="C179" s="50" t="s">
        <v>22</v>
      </c>
      <c r="D179" s="50">
        <v>5101788</v>
      </c>
      <c r="E179" s="20" t="str">
        <f t="shared" si="58"/>
        <v>5101788</v>
      </c>
      <c r="F179" s="50" t="s">
        <v>11</v>
      </c>
      <c r="G179" s="50" t="s">
        <v>23</v>
      </c>
      <c r="H179" s="50" t="s">
        <v>454</v>
      </c>
      <c r="I179" s="50"/>
      <c r="J179" s="50" t="s">
        <v>192</v>
      </c>
      <c r="K179" s="50" t="s">
        <v>14</v>
      </c>
      <c r="L179" s="50"/>
      <c r="M179" s="50" t="s">
        <v>18</v>
      </c>
      <c r="N179" s="50">
        <v>2</v>
      </c>
      <c r="O179" s="50" t="s">
        <v>38</v>
      </c>
      <c r="P179" s="50"/>
      <c r="Q179" s="50" t="s">
        <v>397</v>
      </c>
      <c r="R179" s="50" t="s">
        <v>384</v>
      </c>
      <c r="S179" s="51" t="s">
        <v>785</v>
      </c>
      <c r="T179" s="52" t="s">
        <v>793</v>
      </c>
      <c r="U179" s="52" t="s">
        <v>718</v>
      </c>
      <c r="V179" s="79" t="s">
        <v>933</v>
      </c>
      <c r="W179" s="52" t="s">
        <v>816</v>
      </c>
      <c r="X179" s="52" t="s">
        <v>712</v>
      </c>
      <c r="Y179" s="50" t="s">
        <v>717</v>
      </c>
      <c r="Z179" s="72">
        <v>0</v>
      </c>
      <c r="AA179" s="72">
        <v>0</v>
      </c>
      <c r="AB179" s="72">
        <v>0</v>
      </c>
      <c r="AC179" s="72">
        <v>0</v>
      </c>
      <c r="AD179" s="72">
        <v>0</v>
      </c>
      <c r="AE179" s="72">
        <v>0</v>
      </c>
      <c r="AF179" s="72">
        <v>0</v>
      </c>
    </row>
    <row r="180" spans="2:32" s="57" customFormat="1" x14ac:dyDescent="0.2">
      <c r="B180" s="49">
        <f t="shared" si="59"/>
        <v>163</v>
      </c>
      <c r="C180" s="50" t="s">
        <v>22</v>
      </c>
      <c r="D180" s="50">
        <v>5101967</v>
      </c>
      <c r="E180" s="20" t="str">
        <f t="shared" si="58"/>
        <v>5101967</v>
      </c>
      <c r="F180" s="50" t="s">
        <v>11</v>
      </c>
      <c r="G180" s="50" t="s">
        <v>60</v>
      </c>
      <c r="H180" s="50" t="s">
        <v>422</v>
      </c>
      <c r="I180" s="50"/>
      <c r="J180" s="50" t="s">
        <v>61</v>
      </c>
      <c r="K180" s="50" t="s">
        <v>14</v>
      </c>
      <c r="L180" s="50"/>
      <c r="M180" s="50" t="s">
        <v>55</v>
      </c>
      <c r="N180" s="50">
        <v>4</v>
      </c>
      <c r="O180" s="50" t="s">
        <v>15</v>
      </c>
      <c r="P180" s="50"/>
      <c r="Q180" s="50" t="s">
        <v>397</v>
      </c>
      <c r="R180" s="50" t="s">
        <v>383</v>
      </c>
      <c r="S180" s="51" t="s">
        <v>786</v>
      </c>
      <c r="T180" s="52" t="s">
        <v>793</v>
      </c>
      <c r="U180" s="52" t="s">
        <v>712</v>
      </c>
      <c r="V180" s="79" t="s">
        <v>827</v>
      </c>
      <c r="W180" s="52" t="s">
        <v>816</v>
      </c>
      <c r="X180" s="52" t="s">
        <v>753</v>
      </c>
      <c r="Y180" s="50" t="s">
        <v>717</v>
      </c>
      <c r="Z180" s="72">
        <v>0</v>
      </c>
      <c r="AA180" s="72">
        <v>2800</v>
      </c>
      <c r="AB180" s="72">
        <v>0</v>
      </c>
      <c r="AC180" s="72">
        <v>2800</v>
      </c>
      <c r="AD180" s="72">
        <v>0</v>
      </c>
      <c r="AE180" s="72">
        <v>2800</v>
      </c>
      <c r="AF180" s="72">
        <v>0</v>
      </c>
    </row>
    <row r="181" spans="2:32" s="57" customFormat="1" x14ac:dyDescent="0.2">
      <c r="B181" s="49">
        <f t="shared" si="59"/>
        <v>164</v>
      </c>
      <c r="C181" s="50" t="s">
        <v>22</v>
      </c>
      <c r="D181" s="50">
        <v>5101968</v>
      </c>
      <c r="E181" s="20" t="str">
        <f t="shared" si="58"/>
        <v>5101968</v>
      </c>
      <c r="F181" s="50" t="s">
        <v>11</v>
      </c>
      <c r="G181" s="50" t="s">
        <v>60</v>
      </c>
      <c r="H181" s="50" t="s">
        <v>422</v>
      </c>
      <c r="I181" s="50"/>
      <c r="J181" s="50" t="s">
        <v>193</v>
      </c>
      <c r="K181" s="50" t="s">
        <v>14</v>
      </c>
      <c r="L181" s="50"/>
      <c r="M181" s="50" t="s">
        <v>55</v>
      </c>
      <c r="N181" s="50">
        <v>4</v>
      </c>
      <c r="O181" s="50" t="s">
        <v>15</v>
      </c>
      <c r="P181" s="50"/>
      <c r="Q181" s="50" t="s">
        <v>397</v>
      </c>
      <c r="R181" s="50" t="s">
        <v>384</v>
      </c>
      <c r="S181" s="51" t="s">
        <v>786</v>
      </c>
      <c r="T181" s="52" t="s">
        <v>793</v>
      </c>
      <c r="U181" s="52" t="s">
        <v>712</v>
      </c>
      <c r="V181" s="79" t="s">
        <v>934</v>
      </c>
      <c r="W181" s="52" t="s">
        <v>816</v>
      </c>
      <c r="X181" s="52" t="s">
        <v>712</v>
      </c>
      <c r="Y181" s="50" t="s">
        <v>717</v>
      </c>
      <c r="Z181" s="72">
        <v>0</v>
      </c>
      <c r="AA181" s="72">
        <v>0</v>
      </c>
      <c r="AB181" s="72">
        <v>0</v>
      </c>
      <c r="AC181" s="72">
        <v>0</v>
      </c>
      <c r="AD181" s="72">
        <v>0</v>
      </c>
      <c r="AE181" s="72">
        <v>0</v>
      </c>
      <c r="AF181" s="72">
        <v>0</v>
      </c>
    </row>
    <row r="182" spans="2:32" s="57" customFormat="1" x14ac:dyDescent="0.2">
      <c r="B182" s="49">
        <f t="shared" si="59"/>
        <v>165</v>
      </c>
      <c r="C182" s="50" t="s">
        <v>22</v>
      </c>
      <c r="D182" s="50">
        <v>5102016</v>
      </c>
      <c r="E182" s="20" t="str">
        <f t="shared" si="58"/>
        <v>5102016</v>
      </c>
      <c r="F182" s="50" t="s">
        <v>11</v>
      </c>
      <c r="G182" s="50" t="s">
        <v>34</v>
      </c>
      <c r="H182" s="50" t="s">
        <v>418</v>
      </c>
      <c r="I182" s="50"/>
      <c r="J182" s="50" t="s">
        <v>194</v>
      </c>
      <c r="K182" s="50" t="s">
        <v>14</v>
      </c>
      <c r="L182" s="50"/>
      <c r="M182" s="50" t="s">
        <v>18</v>
      </c>
      <c r="N182" s="50">
        <v>2</v>
      </c>
      <c r="O182" s="50" t="s">
        <v>15</v>
      </c>
      <c r="P182" s="50"/>
      <c r="Q182" s="50" t="s">
        <v>397</v>
      </c>
      <c r="R182" s="50" t="s">
        <v>384</v>
      </c>
      <c r="S182" s="51" t="s">
        <v>786</v>
      </c>
      <c r="T182" s="52" t="s">
        <v>793</v>
      </c>
      <c r="U182" s="52" t="s">
        <v>712</v>
      </c>
      <c r="V182" s="79" t="s">
        <v>935</v>
      </c>
      <c r="W182" s="52" t="s">
        <v>816</v>
      </c>
      <c r="X182" s="52" t="s">
        <v>712</v>
      </c>
      <c r="Y182" s="50" t="s">
        <v>717</v>
      </c>
      <c r="Z182" s="72">
        <v>0</v>
      </c>
      <c r="AA182" s="72">
        <v>0</v>
      </c>
      <c r="AB182" s="72">
        <v>0</v>
      </c>
      <c r="AC182" s="72">
        <v>0</v>
      </c>
      <c r="AD182" s="72">
        <v>0</v>
      </c>
      <c r="AE182" s="72">
        <v>0</v>
      </c>
      <c r="AF182" s="72">
        <v>0</v>
      </c>
    </row>
    <row r="183" spans="2:32" s="57" customFormat="1" ht="27" x14ac:dyDescent="0.2">
      <c r="B183" s="49">
        <f t="shared" si="59"/>
        <v>166</v>
      </c>
      <c r="C183" s="50" t="s">
        <v>22</v>
      </c>
      <c r="D183" s="50">
        <v>5102165</v>
      </c>
      <c r="E183" s="20" t="str">
        <f t="shared" si="58"/>
        <v>5102165</v>
      </c>
      <c r="F183" s="50" t="s">
        <v>11</v>
      </c>
      <c r="G183" s="50" t="s">
        <v>188</v>
      </c>
      <c r="H183" s="50" t="s">
        <v>440</v>
      </c>
      <c r="I183" s="50"/>
      <c r="J183" s="50" t="s">
        <v>195</v>
      </c>
      <c r="K183" s="50" t="s">
        <v>14</v>
      </c>
      <c r="L183" s="50"/>
      <c r="M183" s="50" t="s">
        <v>196</v>
      </c>
      <c r="N183" s="50">
        <v>58</v>
      </c>
      <c r="O183" s="50" t="s">
        <v>15</v>
      </c>
      <c r="P183" s="50"/>
      <c r="Q183" s="50" t="s">
        <v>397</v>
      </c>
      <c r="R183" s="50" t="s">
        <v>384</v>
      </c>
      <c r="S183" s="51" t="s">
        <v>787</v>
      </c>
      <c r="T183" s="52" t="s">
        <v>793</v>
      </c>
      <c r="U183" s="52" t="s">
        <v>718</v>
      </c>
      <c r="V183" s="79" t="s">
        <v>936</v>
      </c>
      <c r="W183" s="52" t="s">
        <v>816</v>
      </c>
      <c r="X183" s="52" t="s">
        <v>712</v>
      </c>
      <c r="Y183" s="50" t="s">
        <v>717</v>
      </c>
      <c r="Z183" s="72">
        <v>0</v>
      </c>
      <c r="AA183" s="72">
        <v>0</v>
      </c>
      <c r="AB183" s="72">
        <v>0</v>
      </c>
      <c r="AC183" s="72">
        <v>0</v>
      </c>
      <c r="AD183" s="72">
        <v>0</v>
      </c>
      <c r="AE183" s="72">
        <v>0</v>
      </c>
      <c r="AF183" s="72">
        <v>0</v>
      </c>
    </row>
    <row r="184" spans="2:32" s="57" customFormat="1" ht="27" x14ac:dyDescent="0.2">
      <c r="B184" s="49">
        <f t="shared" si="59"/>
        <v>167</v>
      </c>
      <c r="C184" s="50" t="s">
        <v>22</v>
      </c>
      <c r="D184" s="50">
        <v>5102425</v>
      </c>
      <c r="E184" s="20" t="str">
        <f t="shared" si="58"/>
        <v>5102425</v>
      </c>
      <c r="F184" s="50" t="s">
        <v>11</v>
      </c>
      <c r="G184" s="50" t="s">
        <v>109</v>
      </c>
      <c r="H184" s="50" t="s">
        <v>432</v>
      </c>
      <c r="I184" s="50"/>
      <c r="J184" s="50" t="s">
        <v>197</v>
      </c>
      <c r="K184" s="50" t="s">
        <v>14</v>
      </c>
      <c r="L184" s="50"/>
      <c r="M184" s="50" t="s">
        <v>21</v>
      </c>
      <c r="N184" s="50">
        <v>1</v>
      </c>
      <c r="O184" s="50" t="s">
        <v>15</v>
      </c>
      <c r="P184" s="50"/>
      <c r="Q184" s="50" t="s">
        <v>397</v>
      </c>
      <c r="R184" s="50" t="s">
        <v>384</v>
      </c>
      <c r="S184" s="51" t="s">
        <v>781</v>
      </c>
      <c r="T184" s="52" t="s">
        <v>793</v>
      </c>
      <c r="U184" s="52" t="s">
        <v>718</v>
      </c>
      <c r="V184" s="79" t="s">
        <v>937</v>
      </c>
      <c r="W184" s="52" t="s">
        <v>816</v>
      </c>
      <c r="X184" s="52" t="s">
        <v>712</v>
      </c>
      <c r="Y184" s="50" t="s">
        <v>717</v>
      </c>
      <c r="Z184" s="72">
        <v>0</v>
      </c>
      <c r="AA184" s="72">
        <v>0</v>
      </c>
      <c r="AB184" s="72">
        <v>0</v>
      </c>
      <c r="AC184" s="72">
        <v>0</v>
      </c>
      <c r="AD184" s="72">
        <v>0</v>
      </c>
      <c r="AE184" s="72">
        <v>0</v>
      </c>
      <c r="AF184" s="72">
        <v>0</v>
      </c>
    </row>
    <row r="185" spans="2:32" s="57" customFormat="1" x14ac:dyDescent="0.2">
      <c r="B185" s="49">
        <f t="shared" si="59"/>
        <v>168</v>
      </c>
      <c r="C185" s="50" t="s">
        <v>22</v>
      </c>
      <c r="D185" s="50">
        <v>5102452</v>
      </c>
      <c r="E185" s="20" t="str">
        <f t="shared" si="58"/>
        <v>5102452</v>
      </c>
      <c r="F185" s="50" t="s">
        <v>11</v>
      </c>
      <c r="G185" s="50" t="s">
        <v>23</v>
      </c>
      <c r="H185" s="50" t="s">
        <v>410</v>
      </c>
      <c r="I185" s="50"/>
      <c r="J185" s="50" t="s">
        <v>198</v>
      </c>
      <c r="K185" s="50" t="s">
        <v>14</v>
      </c>
      <c r="L185" s="50"/>
      <c r="M185" s="50" t="s">
        <v>18</v>
      </c>
      <c r="N185" s="50">
        <v>2</v>
      </c>
      <c r="O185" s="50" t="s">
        <v>15</v>
      </c>
      <c r="P185" s="50"/>
      <c r="Q185" s="50" t="s">
        <v>397</v>
      </c>
      <c r="R185" s="50" t="s">
        <v>384</v>
      </c>
      <c r="S185" s="51" t="s">
        <v>786</v>
      </c>
      <c r="T185" s="52" t="s">
        <v>793</v>
      </c>
      <c r="U185" s="52" t="s">
        <v>712</v>
      </c>
      <c r="V185" s="79" t="s">
        <v>938</v>
      </c>
      <c r="W185" s="52" t="s">
        <v>816</v>
      </c>
      <c r="X185" s="52" t="s">
        <v>712</v>
      </c>
      <c r="Y185" s="50" t="s">
        <v>717</v>
      </c>
      <c r="Z185" s="72">
        <v>0</v>
      </c>
      <c r="AA185" s="72">
        <v>0</v>
      </c>
      <c r="AB185" s="72">
        <v>0</v>
      </c>
      <c r="AC185" s="72">
        <v>0</v>
      </c>
      <c r="AD185" s="72">
        <v>0</v>
      </c>
      <c r="AE185" s="72">
        <v>0</v>
      </c>
      <c r="AF185" s="72">
        <v>0</v>
      </c>
    </row>
    <row r="186" spans="2:32" s="57" customFormat="1" x14ac:dyDescent="0.2">
      <c r="B186" s="49">
        <f t="shared" si="59"/>
        <v>169</v>
      </c>
      <c r="C186" s="50" t="s">
        <v>22</v>
      </c>
      <c r="D186" s="50">
        <v>5102545</v>
      </c>
      <c r="E186" s="20" t="str">
        <f t="shared" si="58"/>
        <v>5102545</v>
      </c>
      <c r="F186" s="50" t="s">
        <v>11</v>
      </c>
      <c r="G186" s="50" t="s">
        <v>109</v>
      </c>
      <c r="H186" s="50" t="s">
        <v>432</v>
      </c>
      <c r="I186" s="50"/>
      <c r="J186" s="50" t="s">
        <v>199</v>
      </c>
      <c r="K186" s="50" t="s">
        <v>14</v>
      </c>
      <c r="L186" s="50"/>
      <c r="M186" s="50" t="s">
        <v>200</v>
      </c>
      <c r="N186" s="50">
        <v>6</v>
      </c>
      <c r="O186" s="50" t="s">
        <v>15</v>
      </c>
      <c r="P186" s="50"/>
      <c r="Q186" s="50" t="s">
        <v>397</v>
      </c>
      <c r="R186" s="50" t="s">
        <v>384</v>
      </c>
      <c r="S186" s="51" t="s">
        <v>781</v>
      </c>
      <c r="T186" s="52" t="s">
        <v>793</v>
      </c>
      <c r="U186" s="52" t="s">
        <v>712</v>
      </c>
      <c r="V186" s="79" t="s">
        <v>939</v>
      </c>
      <c r="W186" s="52" t="s">
        <v>816</v>
      </c>
      <c r="X186" s="52" t="s">
        <v>712</v>
      </c>
      <c r="Y186" s="50" t="s">
        <v>717</v>
      </c>
      <c r="Z186" s="72">
        <v>0</v>
      </c>
      <c r="AA186" s="72">
        <v>0</v>
      </c>
      <c r="AB186" s="72">
        <v>0</v>
      </c>
      <c r="AC186" s="72">
        <v>0</v>
      </c>
      <c r="AD186" s="72">
        <v>0</v>
      </c>
      <c r="AE186" s="72">
        <v>0</v>
      </c>
      <c r="AF186" s="72">
        <v>0</v>
      </c>
    </row>
    <row r="187" spans="2:32" s="57" customFormat="1" x14ac:dyDescent="0.2">
      <c r="B187" s="49">
        <f t="shared" si="59"/>
        <v>170</v>
      </c>
      <c r="C187" s="50" t="s">
        <v>22</v>
      </c>
      <c r="D187" s="50">
        <v>5102566</v>
      </c>
      <c r="E187" s="20" t="str">
        <f t="shared" si="58"/>
        <v>5102566</v>
      </c>
      <c r="F187" s="50" t="s">
        <v>11</v>
      </c>
      <c r="G187" s="50" t="s">
        <v>34</v>
      </c>
      <c r="H187" s="50" t="s">
        <v>418</v>
      </c>
      <c r="I187" s="50"/>
      <c r="J187" s="50" t="s">
        <v>201</v>
      </c>
      <c r="K187" s="50" t="s">
        <v>14</v>
      </c>
      <c r="L187" s="50"/>
      <c r="M187" s="50" t="s">
        <v>21</v>
      </c>
      <c r="N187" s="50">
        <v>1</v>
      </c>
      <c r="O187" s="50" t="s">
        <v>15</v>
      </c>
      <c r="P187" s="50"/>
      <c r="Q187" s="50" t="s">
        <v>397</v>
      </c>
      <c r="R187" s="50" t="s">
        <v>384</v>
      </c>
      <c r="S187" s="51" t="s">
        <v>786</v>
      </c>
      <c r="T187" s="52" t="s">
        <v>793</v>
      </c>
      <c r="U187" s="52" t="s">
        <v>712</v>
      </c>
      <c r="V187" s="79" t="s">
        <v>940</v>
      </c>
      <c r="W187" s="52" t="s">
        <v>816</v>
      </c>
      <c r="X187" s="52" t="s">
        <v>712</v>
      </c>
      <c r="Y187" s="50" t="s">
        <v>717</v>
      </c>
      <c r="Z187" s="72">
        <v>0</v>
      </c>
      <c r="AA187" s="72">
        <v>0</v>
      </c>
      <c r="AB187" s="72">
        <v>0</v>
      </c>
      <c r="AC187" s="72">
        <v>0</v>
      </c>
      <c r="AD187" s="72">
        <v>0</v>
      </c>
      <c r="AE187" s="72">
        <v>0</v>
      </c>
      <c r="AF187" s="72">
        <v>0</v>
      </c>
    </row>
    <row r="188" spans="2:32" s="57" customFormat="1" x14ac:dyDescent="0.2">
      <c r="B188" s="49">
        <f t="shared" si="59"/>
        <v>171</v>
      </c>
      <c r="C188" s="50" t="s">
        <v>22</v>
      </c>
      <c r="D188" s="50">
        <v>5102695</v>
      </c>
      <c r="E188" s="20" t="str">
        <f t="shared" si="58"/>
        <v>5102695</v>
      </c>
      <c r="F188" s="50" t="s">
        <v>11</v>
      </c>
      <c r="G188" s="50" t="s">
        <v>188</v>
      </c>
      <c r="H188" s="50" t="s">
        <v>440</v>
      </c>
      <c r="I188" s="50"/>
      <c r="J188" s="50" t="s">
        <v>202</v>
      </c>
      <c r="K188" s="50" t="s">
        <v>14</v>
      </c>
      <c r="L188" s="50"/>
      <c r="M188" s="50" t="s">
        <v>18</v>
      </c>
      <c r="N188" s="50">
        <v>2</v>
      </c>
      <c r="O188" s="50" t="s">
        <v>15</v>
      </c>
      <c r="P188" s="50"/>
      <c r="Q188" s="50" t="s">
        <v>397</v>
      </c>
      <c r="R188" s="50" t="s">
        <v>384</v>
      </c>
      <c r="S188" s="51" t="s">
        <v>781</v>
      </c>
      <c r="T188" s="52" t="s">
        <v>793</v>
      </c>
      <c r="U188" s="52" t="s">
        <v>712</v>
      </c>
      <c r="V188" s="79" t="s">
        <v>941</v>
      </c>
      <c r="W188" s="52" t="s">
        <v>816</v>
      </c>
      <c r="X188" s="52" t="s">
        <v>712</v>
      </c>
      <c r="Y188" s="50" t="s">
        <v>717</v>
      </c>
      <c r="Z188" s="72">
        <v>0</v>
      </c>
      <c r="AA188" s="72">
        <v>0</v>
      </c>
      <c r="AB188" s="72">
        <v>0</v>
      </c>
      <c r="AC188" s="72">
        <v>0</v>
      </c>
      <c r="AD188" s="72">
        <v>0</v>
      </c>
      <c r="AE188" s="72">
        <v>0</v>
      </c>
      <c r="AF188" s="72">
        <v>0</v>
      </c>
    </row>
    <row r="189" spans="2:32" s="57" customFormat="1" x14ac:dyDescent="0.2">
      <c r="B189" s="49">
        <f t="shared" si="59"/>
        <v>172</v>
      </c>
      <c r="C189" s="50" t="s">
        <v>22</v>
      </c>
      <c r="D189" s="50">
        <v>5102725</v>
      </c>
      <c r="E189" s="20" t="str">
        <f t="shared" si="58"/>
        <v>5102725</v>
      </c>
      <c r="F189" s="50" t="s">
        <v>11</v>
      </c>
      <c r="G189" s="50" t="s">
        <v>34</v>
      </c>
      <c r="H189" s="50" t="s">
        <v>418</v>
      </c>
      <c r="I189" s="50"/>
      <c r="J189" s="50" t="s">
        <v>203</v>
      </c>
      <c r="K189" s="50" t="s">
        <v>14</v>
      </c>
      <c r="L189" s="50"/>
      <c r="M189" s="50" t="s">
        <v>21</v>
      </c>
      <c r="N189" s="50">
        <v>1</v>
      </c>
      <c r="O189" s="50" t="s">
        <v>15</v>
      </c>
      <c r="P189" s="50"/>
      <c r="Q189" s="50" t="s">
        <v>397</v>
      </c>
      <c r="R189" s="50" t="s">
        <v>384</v>
      </c>
      <c r="S189" s="51" t="s">
        <v>786</v>
      </c>
      <c r="T189" s="52" t="s">
        <v>793</v>
      </c>
      <c r="U189" s="52" t="s">
        <v>712</v>
      </c>
      <c r="V189" s="79" t="s">
        <v>942</v>
      </c>
      <c r="W189" s="52" t="s">
        <v>816</v>
      </c>
      <c r="X189" s="52" t="s">
        <v>712</v>
      </c>
      <c r="Y189" s="50" t="s">
        <v>717</v>
      </c>
      <c r="Z189" s="72">
        <v>0</v>
      </c>
      <c r="AA189" s="72">
        <v>0</v>
      </c>
      <c r="AB189" s="72">
        <v>0</v>
      </c>
      <c r="AC189" s="72">
        <v>0</v>
      </c>
      <c r="AD189" s="72">
        <v>0</v>
      </c>
      <c r="AE189" s="72">
        <v>0</v>
      </c>
      <c r="AF189" s="72">
        <v>0</v>
      </c>
    </row>
    <row r="190" spans="2:32" s="57" customFormat="1" x14ac:dyDescent="0.2">
      <c r="B190" s="49">
        <f t="shared" si="59"/>
        <v>173</v>
      </c>
      <c r="C190" s="50" t="s">
        <v>22</v>
      </c>
      <c r="D190" s="50">
        <v>5102868</v>
      </c>
      <c r="E190" s="20" t="str">
        <f t="shared" si="58"/>
        <v>5102868</v>
      </c>
      <c r="F190" s="50" t="s">
        <v>11</v>
      </c>
      <c r="G190" s="50" t="s">
        <v>204</v>
      </c>
      <c r="H190" s="50" t="s">
        <v>428</v>
      </c>
      <c r="I190" s="50"/>
      <c r="J190" s="50" t="s">
        <v>205</v>
      </c>
      <c r="K190" s="50" t="s">
        <v>14</v>
      </c>
      <c r="L190" s="50"/>
      <c r="M190" s="50" t="s">
        <v>206</v>
      </c>
      <c r="N190" s="50">
        <v>24</v>
      </c>
      <c r="O190" s="50" t="s">
        <v>15</v>
      </c>
      <c r="P190" s="50"/>
      <c r="Q190" s="50" t="s">
        <v>397</v>
      </c>
      <c r="R190" s="50" t="s">
        <v>384</v>
      </c>
      <c r="S190" s="51" t="s">
        <v>788</v>
      </c>
      <c r="T190" s="52" t="s">
        <v>721</v>
      </c>
      <c r="U190" s="52" t="s">
        <v>712</v>
      </c>
      <c r="V190" s="79" t="s">
        <v>943</v>
      </c>
      <c r="W190" s="52" t="s">
        <v>817</v>
      </c>
      <c r="X190" s="52" t="s">
        <v>712</v>
      </c>
      <c r="Y190" s="50" t="s">
        <v>717</v>
      </c>
      <c r="Z190" s="72">
        <v>0</v>
      </c>
      <c r="AA190" s="72">
        <v>0</v>
      </c>
      <c r="AB190" s="72">
        <v>0</v>
      </c>
      <c r="AC190" s="72">
        <v>0</v>
      </c>
      <c r="AD190" s="72">
        <v>0</v>
      </c>
      <c r="AE190" s="72">
        <v>0</v>
      </c>
      <c r="AF190" s="72">
        <v>0</v>
      </c>
    </row>
    <row r="191" spans="2:32" s="57" customFormat="1" x14ac:dyDescent="0.2">
      <c r="B191" s="49">
        <f t="shared" si="59"/>
        <v>174</v>
      </c>
      <c r="C191" s="50" t="s">
        <v>22</v>
      </c>
      <c r="D191" s="50">
        <v>5102969</v>
      </c>
      <c r="E191" s="20" t="str">
        <f t="shared" si="58"/>
        <v>5102969</v>
      </c>
      <c r="F191" s="50" t="s">
        <v>11</v>
      </c>
      <c r="G191" s="50" t="s">
        <v>120</v>
      </c>
      <c r="H191" s="50" t="s">
        <v>437</v>
      </c>
      <c r="I191" s="50"/>
      <c r="J191" s="50" t="s">
        <v>121</v>
      </c>
      <c r="K191" s="50" t="s">
        <v>14</v>
      </c>
      <c r="L191" s="50"/>
      <c r="M191" s="50" t="s">
        <v>21</v>
      </c>
      <c r="N191" s="50">
        <v>1</v>
      </c>
      <c r="O191" s="50" t="s">
        <v>15</v>
      </c>
      <c r="P191" s="50"/>
      <c r="Q191" s="50" t="s">
        <v>397</v>
      </c>
      <c r="R191" s="50" t="s">
        <v>384</v>
      </c>
      <c r="S191" s="51" t="s">
        <v>760</v>
      </c>
      <c r="T191" s="52" t="s">
        <v>836</v>
      </c>
      <c r="U191" s="52" t="s">
        <v>720</v>
      </c>
      <c r="V191" s="79" t="s">
        <v>944</v>
      </c>
      <c r="W191" s="52" t="s">
        <v>804</v>
      </c>
      <c r="X191" s="52" t="s">
        <v>712</v>
      </c>
      <c r="Y191" s="50" t="s">
        <v>717</v>
      </c>
      <c r="Z191" s="72">
        <v>0</v>
      </c>
      <c r="AA191" s="72">
        <v>0</v>
      </c>
      <c r="AB191" s="72">
        <v>0</v>
      </c>
      <c r="AC191" s="72">
        <v>0</v>
      </c>
      <c r="AD191" s="72">
        <v>0</v>
      </c>
      <c r="AE191" s="72">
        <v>0</v>
      </c>
      <c r="AF191" s="72">
        <v>0</v>
      </c>
    </row>
    <row r="192" spans="2:32" s="57" customFormat="1" ht="27" x14ac:dyDescent="0.2">
      <c r="B192" s="49">
        <f t="shared" si="59"/>
        <v>175</v>
      </c>
      <c r="C192" s="50" t="s">
        <v>22</v>
      </c>
      <c r="D192" s="50">
        <v>5102972</v>
      </c>
      <c r="E192" s="20" t="str">
        <f t="shared" si="58"/>
        <v>5102972</v>
      </c>
      <c r="F192" s="50" t="s">
        <v>11</v>
      </c>
      <c r="G192" s="50" t="s">
        <v>207</v>
      </c>
      <c r="H192" s="50" t="s">
        <v>457</v>
      </c>
      <c r="I192" s="50"/>
      <c r="J192" s="50" t="s">
        <v>208</v>
      </c>
      <c r="K192" s="50" t="s">
        <v>14</v>
      </c>
      <c r="L192" s="50"/>
      <c r="M192" s="50" t="s">
        <v>209</v>
      </c>
      <c r="N192" s="50">
        <v>16</v>
      </c>
      <c r="O192" s="50" t="s">
        <v>15</v>
      </c>
      <c r="P192" s="50"/>
      <c r="Q192" s="50" t="s">
        <v>397</v>
      </c>
      <c r="R192" s="50" t="s">
        <v>384</v>
      </c>
      <c r="S192" s="51" t="s">
        <v>760</v>
      </c>
      <c r="T192" s="52" t="s">
        <v>836</v>
      </c>
      <c r="U192" s="52" t="s">
        <v>712</v>
      </c>
      <c r="V192" s="79" t="s">
        <v>945</v>
      </c>
      <c r="W192" s="52" t="s">
        <v>804</v>
      </c>
      <c r="X192" s="52" t="s">
        <v>712</v>
      </c>
      <c r="Y192" s="50" t="s">
        <v>717</v>
      </c>
      <c r="Z192" s="72">
        <v>0</v>
      </c>
      <c r="AA192" s="72">
        <v>0</v>
      </c>
      <c r="AB192" s="72">
        <v>0</v>
      </c>
      <c r="AC192" s="72">
        <v>0</v>
      </c>
      <c r="AD192" s="72">
        <v>0</v>
      </c>
      <c r="AE192" s="72">
        <v>0</v>
      </c>
      <c r="AF192" s="72">
        <v>0</v>
      </c>
    </row>
    <row r="193" spans="2:32" s="57" customFormat="1" x14ac:dyDescent="0.2">
      <c r="B193" s="49">
        <f t="shared" si="59"/>
        <v>176</v>
      </c>
      <c r="C193" s="50" t="s">
        <v>22</v>
      </c>
      <c r="D193" s="50">
        <v>570000209</v>
      </c>
      <c r="E193" s="20" t="str">
        <f t="shared" si="58"/>
        <v>570000209</v>
      </c>
      <c r="F193" s="50" t="s">
        <v>11</v>
      </c>
      <c r="G193" s="50" t="s">
        <v>60</v>
      </c>
      <c r="H193" s="50" t="s">
        <v>422</v>
      </c>
      <c r="I193" s="50"/>
      <c r="J193" s="50" t="s">
        <v>210</v>
      </c>
      <c r="K193" s="50" t="s">
        <v>14</v>
      </c>
      <c r="L193" s="50"/>
      <c r="M193" s="50" t="s">
        <v>211</v>
      </c>
      <c r="N193" s="50">
        <v>12</v>
      </c>
      <c r="O193" s="50" t="s">
        <v>15</v>
      </c>
      <c r="P193" s="50"/>
      <c r="Q193" s="50" t="s">
        <v>397</v>
      </c>
      <c r="R193" s="50" t="s">
        <v>384</v>
      </c>
      <c r="S193" s="51" t="s">
        <v>772</v>
      </c>
      <c r="T193" s="52" t="s">
        <v>738</v>
      </c>
      <c r="U193" s="52" t="s">
        <v>712</v>
      </c>
      <c r="V193" s="79">
        <v>164258</v>
      </c>
      <c r="W193" s="52" t="s">
        <v>809</v>
      </c>
      <c r="X193" s="52" t="s">
        <v>712</v>
      </c>
      <c r="Y193" s="50" t="s">
        <v>717</v>
      </c>
      <c r="Z193" s="72">
        <v>0</v>
      </c>
      <c r="AA193" s="72">
        <v>0</v>
      </c>
      <c r="AB193" s="72">
        <v>0</v>
      </c>
      <c r="AC193" s="72">
        <v>0</v>
      </c>
      <c r="AD193" s="72">
        <v>0</v>
      </c>
      <c r="AE193" s="72">
        <v>0</v>
      </c>
      <c r="AF193" s="72">
        <v>0</v>
      </c>
    </row>
    <row r="194" spans="2:32" s="57" customFormat="1" ht="27" x14ac:dyDescent="0.2">
      <c r="B194" s="49">
        <f t="shared" si="59"/>
        <v>177</v>
      </c>
      <c r="C194" s="50" t="s">
        <v>22</v>
      </c>
      <c r="D194" s="50">
        <v>570000585</v>
      </c>
      <c r="E194" s="20" t="str">
        <f t="shared" si="58"/>
        <v>570000585</v>
      </c>
      <c r="F194" s="50" t="s">
        <v>11</v>
      </c>
      <c r="G194" s="50" t="s">
        <v>60</v>
      </c>
      <c r="H194" s="50" t="s">
        <v>422</v>
      </c>
      <c r="I194" s="50"/>
      <c r="J194" s="50" t="s">
        <v>387</v>
      </c>
      <c r="K194" s="50" t="s">
        <v>14</v>
      </c>
      <c r="L194" s="50"/>
      <c r="M194" s="50" t="s">
        <v>21</v>
      </c>
      <c r="N194" s="50">
        <v>1</v>
      </c>
      <c r="O194" s="50" t="s">
        <v>15</v>
      </c>
      <c r="P194" s="50"/>
      <c r="Q194" s="50" t="s">
        <v>397</v>
      </c>
      <c r="R194" s="50" t="s">
        <v>384</v>
      </c>
      <c r="S194" s="51" t="s">
        <v>729</v>
      </c>
      <c r="T194" s="52" t="s">
        <v>738</v>
      </c>
      <c r="U194" s="52" t="s">
        <v>719</v>
      </c>
      <c r="V194" s="79" t="s">
        <v>915</v>
      </c>
      <c r="W194" s="52" t="s">
        <v>736</v>
      </c>
      <c r="X194" s="52" t="s">
        <v>712</v>
      </c>
      <c r="Y194" s="50" t="s">
        <v>717</v>
      </c>
      <c r="Z194" s="72">
        <v>0</v>
      </c>
      <c r="AA194" s="72">
        <v>0</v>
      </c>
      <c r="AB194" s="72">
        <v>0</v>
      </c>
      <c r="AC194" s="72">
        <v>0</v>
      </c>
      <c r="AD194" s="72">
        <v>0</v>
      </c>
      <c r="AE194" s="72">
        <v>0</v>
      </c>
      <c r="AF194" s="72">
        <v>0</v>
      </c>
    </row>
    <row r="195" spans="2:32" s="57" customFormat="1" x14ac:dyDescent="0.2">
      <c r="B195" s="49">
        <f t="shared" si="59"/>
        <v>178</v>
      </c>
      <c r="C195" s="50" t="s">
        <v>22</v>
      </c>
      <c r="D195" s="50">
        <v>570000896</v>
      </c>
      <c r="E195" s="20" t="str">
        <f t="shared" si="58"/>
        <v>570000896</v>
      </c>
      <c r="F195" s="50" t="s">
        <v>11</v>
      </c>
      <c r="G195" s="50" t="s">
        <v>34</v>
      </c>
      <c r="H195" s="50" t="s">
        <v>418</v>
      </c>
      <c r="I195" s="50"/>
      <c r="J195" s="50" t="s">
        <v>212</v>
      </c>
      <c r="K195" s="50" t="s">
        <v>14</v>
      </c>
      <c r="L195" s="50"/>
      <c r="M195" s="50" t="s">
        <v>18</v>
      </c>
      <c r="N195" s="50">
        <v>2</v>
      </c>
      <c r="O195" s="50" t="s">
        <v>15</v>
      </c>
      <c r="P195" s="50"/>
      <c r="Q195" s="50" t="s">
        <v>397</v>
      </c>
      <c r="R195" s="50" t="s">
        <v>384</v>
      </c>
      <c r="S195" s="51" t="s">
        <v>772</v>
      </c>
      <c r="T195" s="52" t="s">
        <v>738</v>
      </c>
      <c r="U195" s="52" t="s">
        <v>712</v>
      </c>
      <c r="V195" s="79">
        <v>8047676</v>
      </c>
      <c r="W195" s="52" t="s">
        <v>809</v>
      </c>
      <c r="X195" s="52" t="s">
        <v>712</v>
      </c>
      <c r="Y195" s="50" t="s">
        <v>717</v>
      </c>
      <c r="Z195" s="72">
        <v>0</v>
      </c>
      <c r="AA195" s="72">
        <v>0</v>
      </c>
      <c r="AB195" s="72">
        <v>0</v>
      </c>
      <c r="AC195" s="72">
        <v>0</v>
      </c>
      <c r="AD195" s="72">
        <v>0</v>
      </c>
      <c r="AE195" s="72">
        <v>0</v>
      </c>
      <c r="AF195" s="72">
        <v>0</v>
      </c>
    </row>
    <row r="196" spans="2:32" s="57" customFormat="1" ht="27" x14ac:dyDescent="0.2">
      <c r="B196" s="49">
        <f t="shared" si="59"/>
        <v>179</v>
      </c>
      <c r="C196" s="50" t="s">
        <v>22</v>
      </c>
      <c r="D196" s="50">
        <v>7700004</v>
      </c>
      <c r="E196" s="20" t="str">
        <f t="shared" si="58"/>
        <v>7700004</v>
      </c>
      <c r="F196" s="50" t="s">
        <v>11</v>
      </c>
      <c r="G196" s="50" t="s">
        <v>213</v>
      </c>
      <c r="H196" s="50" t="s">
        <v>458</v>
      </c>
      <c r="I196" s="50"/>
      <c r="J196" s="50" t="s">
        <v>214</v>
      </c>
      <c r="K196" s="50" t="s">
        <v>14</v>
      </c>
      <c r="L196" s="50"/>
      <c r="M196" s="50" t="s">
        <v>215</v>
      </c>
      <c r="N196" s="50">
        <v>28</v>
      </c>
      <c r="O196" s="50" t="s">
        <v>15</v>
      </c>
      <c r="P196" s="50"/>
      <c r="Q196" s="50" t="s">
        <v>397</v>
      </c>
      <c r="R196" s="50" t="s">
        <v>384</v>
      </c>
      <c r="S196" s="51" t="s">
        <v>789</v>
      </c>
      <c r="T196" s="52" t="s">
        <v>793</v>
      </c>
      <c r="U196" s="52" t="s">
        <v>720</v>
      </c>
      <c r="V196" s="79" t="s">
        <v>952</v>
      </c>
      <c r="W196" s="52" t="s">
        <v>818</v>
      </c>
      <c r="X196" s="52" t="s">
        <v>712</v>
      </c>
      <c r="Y196" s="50" t="s">
        <v>717</v>
      </c>
      <c r="Z196" s="72">
        <v>0</v>
      </c>
      <c r="AA196" s="72">
        <v>0</v>
      </c>
      <c r="AB196" s="72">
        <v>0</v>
      </c>
      <c r="AC196" s="72">
        <v>0</v>
      </c>
      <c r="AD196" s="72">
        <v>0</v>
      </c>
      <c r="AE196" s="72">
        <v>0</v>
      </c>
      <c r="AF196" s="72">
        <v>0</v>
      </c>
    </row>
    <row r="197" spans="2:32" s="57" customFormat="1" ht="54" x14ac:dyDescent="0.2">
      <c r="B197" s="49">
        <f t="shared" si="59"/>
        <v>180</v>
      </c>
      <c r="C197" s="50" t="s">
        <v>22</v>
      </c>
      <c r="D197" s="50">
        <v>7700071</v>
      </c>
      <c r="E197" s="20" t="str">
        <f t="shared" si="58"/>
        <v>7700071</v>
      </c>
      <c r="F197" s="50" t="s">
        <v>11</v>
      </c>
      <c r="G197" s="50" t="s">
        <v>216</v>
      </c>
      <c r="H197" s="50" t="s">
        <v>459</v>
      </c>
      <c r="I197" s="50"/>
      <c r="J197" s="50" t="s">
        <v>217</v>
      </c>
      <c r="K197" s="50" t="s">
        <v>14</v>
      </c>
      <c r="L197" s="50"/>
      <c r="M197" s="50" t="s">
        <v>218</v>
      </c>
      <c r="N197" s="50">
        <v>10.5</v>
      </c>
      <c r="O197" s="50" t="s">
        <v>15</v>
      </c>
      <c r="P197" s="50"/>
      <c r="Q197" s="50" t="s">
        <v>397</v>
      </c>
      <c r="R197" s="50" t="s">
        <v>384</v>
      </c>
      <c r="S197" s="51" t="s">
        <v>790</v>
      </c>
      <c r="T197" s="52" t="s">
        <v>793</v>
      </c>
      <c r="U197" s="52" t="s">
        <v>720</v>
      </c>
      <c r="V197" s="79" t="s">
        <v>953</v>
      </c>
      <c r="W197" s="52" t="s">
        <v>818</v>
      </c>
      <c r="X197" s="52" t="s">
        <v>712</v>
      </c>
      <c r="Y197" s="50" t="s">
        <v>717</v>
      </c>
      <c r="Z197" s="72">
        <v>0</v>
      </c>
      <c r="AA197" s="72">
        <v>0</v>
      </c>
      <c r="AB197" s="72">
        <v>0</v>
      </c>
      <c r="AC197" s="72">
        <v>0</v>
      </c>
      <c r="AD197" s="72">
        <v>0</v>
      </c>
      <c r="AE197" s="72">
        <v>0</v>
      </c>
      <c r="AF197" s="72">
        <v>0</v>
      </c>
    </row>
    <row r="198" spans="2:32" s="57" customFormat="1" ht="54" x14ac:dyDescent="0.2">
      <c r="B198" s="49">
        <f t="shared" si="59"/>
        <v>181</v>
      </c>
      <c r="C198" s="50" t="s">
        <v>22</v>
      </c>
      <c r="D198" s="50">
        <v>7700072</v>
      </c>
      <c r="E198" s="20" t="str">
        <f t="shared" si="58"/>
        <v>7700072</v>
      </c>
      <c r="F198" s="50" t="s">
        <v>11</v>
      </c>
      <c r="G198" s="50" t="s">
        <v>207</v>
      </c>
      <c r="H198" s="50" t="s">
        <v>457</v>
      </c>
      <c r="I198" s="50"/>
      <c r="J198" s="50" t="s">
        <v>219</v>
      </c>
      <c r="K198" s="50" t="s">
        <v>14</v>
      </c>
      <c r="L198" s="50"/>
      <c r="M198" s="50" t="s">
        <v>220</v>
      </c>
      <c r="N198" s="50">
        <v>3.8</v>
      </c>
      <c r="O198" s="50" t="s">
        <v>15</v>
      </c>
      <c r="P198" s="50"/>
      <c r="Q198" s="50" t="s">
        <v>397</v>
      </c>
      <c r="R198" s="50" t="s">
        <v>384</v>
      </c>
      <c r="S198" s="51" t="s">
        <v>790</v>
      </c>
      <c r="T198" s="52" t="s">
        <v>793</v>
      </c>
      <c r="U198" s="52" t="s">
        <v>720</v>
      </c>
      <c r="V198" s="79" t="s">
        <v>954</v>
      </c>
      <c r="W198" s="52" t="s">
        <v>818</v>
      </c>
      <c r="X198" s="52" t="s">
        <v>712</v>
      </c>
      <c r="Y198" s="50" t="s">
        <v>717</v>
      </c>
      <c r="Z198" s="72">
        <v>0</v>
      </c>
      <c r="AA198" s="72">
        <v>0</v>
      </c>
      <c r="AB198" s="72">
        <v>0</v>
      </c>
      <c r="AC198" s="72">
        <v>0</v>
      </c>
      <c r="AD198" s="72">
        <v>0</v>
      </c>
      <c r="AE198" s="72">
        <v>0</v>
      </c>
      <c r="AF198" s="72">
        <v>0</v>
      </c>
    </row>
    <row r="199" spans="2:32" s="57" customFormat="1" ht="27" x14ac:dyDescent="0.2">
      <c r="B199" s="49">
        <f t="shared" si="59"/>
        <v>182</v>
      </c>
      <c r="C199" s="50" t="s">
        <v>22</v>
      </c>
      <c r="D199" s="50">
        <v>7700364</v>
      </c>
      <c r="E199" s="20" t="str">
        <f t="shared" si="58"/>
        <v>7700364</v>
      </c>
      <c r="F199" s="50" t="s">
        <v>11</v>
      </c>
      <c r="G199" s="50" t="s">
        <v>221</v>
      </c>
      <c r="H199" s="50" t="s">
        <v>460</v>
      </c>
      <c r="I199" s="50"/>
      <c r="J199" s="50" t="s">
        <v>222</v>
      </c>
      <c r="K199" s="50" t="s">
        <v>14</v>
      </c>
      <c r="L199" s="50"/>
      <c r="M199" s="50" t="s">
        <v>223</v>
      </c>
      <c r="N199" s="50">
        <v>9.75</v>
      </c>
      <c r="O199" s="50" t="s">
        <v>15</v>
      </c>
      <c r="P199" s="50"/>
      <c r="Q199" s="50" t="s">
        <v>397</v>
      </c>
      <c r="R199" s="50" t="s">
        <v>384</v>
      </c>
      <c r="S199" s="51" t="s">
        <v>789</v>
      </c>
      <c r="T199" s="52" t="s">
        <v>793</v>
      </c>
      <c r="U199" s="52" t="s">
        <v>720</v>
      </c>
      <c r="V199" s="79" t="s">
        <v>955</v>
      </c>
      <c r="W199" s="52" t="s">
        <v>818</v>
      </c>
      <c r="X199" s="52" t="s">
        <v>712</v>
      </c>
      <c r="Y199" s="50" t="s">
        <v>717</v>
      </c>
      <c r="Z199" s="72">
        <v>0</v>
      </c>
      <c r="AA199" s="72">
        <v>0</v>
      </c>
      <c r="AB199" s="72">
        <v>0</v>
      </c>
      <c r="AC199" s="72">
        <v>0</v>
      </c>
      <c r="AD199" s="72">
        <v>0</v>
      </c>
      <c r="AE199" s="72">
        <v>0</v>
      </c>
      <c r="AF199" s="72">
        <v>0</v>
      </c>
    </row>
    <row r="200" spans="2:32" s="57" customFormat="1" ht="40.5" x14ac:dyDescent="0.2">
      <c r="B200" s="49">
        <f t="shared" si="59"/>
        <v>183</v>
      </c>
      <c r="C200" s="50" t="s">
        <v>22</v>
      </c>
      <c r="D200" s="50">
        <v>7700425</v>
      </c>
      <c r="E200" s="20" t="str">
        <f t="shared" si="58"/>
        <v>7700425</v>
      </c>
      <c r="F200" s="50" t="s">
        <v>11</v>
      </c>
      <c r="G200" s="50" t="s">
        <v>32</v>
      </c>
      <c r="H200" s="50" t="s">
        <v>413</v>
      </c>
      <c r="I200" s="50"/>
      <c r="J200" s="50" t="s">
        <v>224</v>
      </c>
      <c r="K200" s="50" t="s">
        <v>14</v>
      </c>
      <c r="L200" s="50"/>
      <c r="M200" s="50" t="s">
        <v>225</v>
      </c>
      <c r="N200" s="50">
        <v>4.5</v>
      </c>
      <c r="O200" s="50" t="s">
        <v>15</v>
      </c>
      <c r="P200" s="50"/>
      <c r="Q200" s="50" t="s">
        <v>397</v>
      </c>
      <c r="R200" s="50" t="s">
        <v>384</v>
      </c>
      <c r="S200" s="51" t="s">
        <v>791</v>
      </c>
      <c r="T200" s="52" t="s">
        <v>793</v>
      </c>
      <c r="U200" s="52" t="s">
        <v>720</v>
      </c>
      <c r="V200" s="79" t="s">
        <v>956</v>
      </c>
      <c r="W200" s="52" t="s">
        <v>818</v>
      </c>
      <c r="X200" s="52" t="s">
        <v>712</v>
      </c>
      <c r="Y200" s="50" t="s">
        <v>717</v>
      </c>
      <c r="Z200" s="72">
        <v>0</v>
      </c>
      <c r="AA200" s="72">
        <v>0</v>
      </c>
      <c r="AB200" s="72">
        <v>0</v>
      </c>
      <c r="AC200" s="72">
        <v>0</v>
      </c>
      <c r="AD200" s="72">
        <v>0</v>
      </c>
      <c r="AE200" s="72">
        <v>0</v>
      </c>
      <c r="AF200" s="72">
        <v>0</v>
      </c>
    </row>
    <row r="201" spans="2:32" s="57" customFormat="1" ht="54" x14ac:dyDescent="0.2">
      <c r="B201" s="49">
        <f t="shared" si="59"/>
        <v>184</v>
      </c>
      <c r="C201" s="50" t="s">
        <v>22</v>
      </c>
      <c r="D201" s="50">
        <v>7700426</v>
      </c>
      <c r="E201" s="20" t="str">
        <f t="shared" si="58"/>
        <v>7700426</v>
      </c>
      <c r="F201" s="50" t="s">
        <v>11</v>
      </c>
      <c r="G201" s="50" t="s">
        <v>226</v>
      </c>
      <c r="H201" s="50" t="s">
        <v>461</v>
      </c>
      <c r="I201" s="50"/>
      <c r="J201" s="50" t="s">
        <v>227</v>
      </c>
      <c r="K201" s="50" t="s">
        <v>14</v>
      </c>
      <c r="L201" s="50"/>
      <c r="M201" s="50" t="s">
        <v>228</v>
      </c>
      <c r="N201" s="50">
        <v>5.9</v>
      </c>
      <c r="O201" s="50" t="s">
        <v>15</v>
      </c>
      <c r="P201" s="50"/>
      <c r="Q201" s="50" t="s">
        <v>397</v>
      </c>
      <c r="R201" s="50" t="s">
        <v>384</v>
      </c>
      <c r="S201" s="51" t="s">
        <v>790</v>
      </c>
      <c r="T201" s="52" t="s">
        <v>793</v>
      </c>
      <c r="U201" s="52" t="s">
        <v>720</v>
      </c>
      <c r="V201" s="79" t="s">
        <v>957</v>
      </c>
      <c r="W201" s="52" t="s">
        <v>818</v>
      </c>
      <c r="X201" s="52" t="s">
        <v>712</v>
      </c>
      <c r="Y201" s="50" t="s">
        <v>717</v>
      </c>
      <c r="Z201" s="72">
        <v>0</v>
      </c>
      <c r="AA201" s="72">
        <v>0</v>
      </c>
      <c r="AB201" s="72">
        <v>0</v>
      </c>
      <c r="AC201" s="72">
        <v>0</v>
      </c>
      <c r="AD201" s="72">
        <v>0</v>
      </c>
      <c r="AE201" s="72">
        <v>0</v>
      </c>
      <c r="AF201" s="72">
        <v>0</v>
      </c>
    </row>
    <row r="202" spans="2:32" s="57" customFormat="1" x14ac:dyDescent="0.2">
      <c r="B202" s="12">
        <f t="shared" si="59"/>
        <v>185</v>
      </c>
      <c r="C202" s="20" t="s">
        <v>16</v>
      </c>
      <c r="D202" s="20">
        <v>170040410</v>
      </c>
      <c r="E202" s="20" t="str">
        <f t="shared" si="58"/>
        <v>170040410</v>
      </c>
      <c r="F202" s="20" t="s">
        <v>11</v>
      </c>
      <c r="G202" s="20" t="s">
        <v>60</v>
      </c>
      <c r="H202" s="20" t="s">
        <v>422</v>
      </c>
      <c r="I202" s="20"/>
      <c r="J202" s="20" t="s">
        <v>84</v>
      </c>
      <c r="K202" s="20" t="s">
        <v>14</v>
      </c>
      <c r="L202" s="20"/>
      <c r="M202" s="20" t="s">
        <v>21</v>
      </c>
      <c r="N202" s="20">
        <v>1</v>
      </c>
      <c r="O202" s="20" t="s">
        <v>15</v>
      </c>
      <c r="P202" s="20"/>
      <c r="Q202" s="20" t="s">
        <v>394</v>
      </c>
      <c r="R202" s="20" t="s">
        <v>344</v>
      </c>
      <c r="S202" s="58" t="s">
        <v>712</v>
      </c>
      <c r="T202" s="59" t="s">
        <v>792</v>
      </c>
      <c r="U202" s="59" t="s">
        <v>733</v>
      </c>
      <c r="V202" s="78" t="s">
        <v>713</v>
      </c>
      <c r="W202" s="59" t="s">
        <v>734</v>
      </c>
      <c r="X202" s="59" t="s">
        <v>797</v>
      </c>
      <c r="Y202" s="20" t="s">
        <v>717</v>
      </c>
      <c r="Z202" s="71">
        <v>0</v>
      </c>
      <c r="AA202" s="71">
        <v>29700</v>
      </c>
      <c r="AB202" s="71">
        <v>29700</v>
      </c>
      <c r="AC202" s="71">
        <v>29700</v>
      </c>
      <c r="AD202" s="71">
        <f t="shared" ref="AD202:AD220" si="62">$AC202*$N202</f>
        <v>29700</v>
      </c>
      <c r="AE202" s="71">
        <v>29700</v>
      </c>
      <c r="AF202" s="71">
        <f t="shared" ref="AF202:AF220" si="63">$AE202*$N202</f>
        <v>29700</v>
      </c>
    </row>
    <row r="203" spans="2:32" s="57" customFormat="1" x14ac:dyDescent="0.2">
      <c r="B203" s="12">
        <f t="shared" si="59"/>
        <v>186</v>
      </c>
      <c r="C203" s="20" t="s">
        <v>16</v>
      </c>
      <c r="D203" s="20">
        <v>170040420</v>
      </c>
      <c r="E203" s="20" t="str">
        <f t="shared" si="58"/>
        <v>170040420</v>
      </c>
      <c r="F203" s="20" t="s">
        <v>11</v>
      </c>
      <c r="G203" s="20" t="s">
        <v>229</v>
      </c>
      <c r="H203" s="20" t="s">
        <v>425</v>
      </c>
      <c r="I203" s="20"/>
      <c r="J203" s="20" t="s">
        <v>230</v>
      </c>
      <c r="K203" s="20" t="s">
        <v>14</v>
      </c>
      <c r="L203" s="20"/>
      <c r="M203" s="20" t="s">
        <v>21</v>
      </c>
      <c r="N203" s="20">
        <v>1</v>
      </c>
      <c r="O203" s="20" t="s">
        <v>15</v>
      </c>
      <c r="P203" s="20"/>
      <c r="Q203" s="20" t="s">
        <v>362</v>
      </c>
      <c r="R203" s="20" t="s">
        <v>344</v>
      </c>
      <c r="S203" s="58" t="s">
        <v>712</v>
      </c>
      <c r="T203" s="59" t="s">
        <v>792</v>
      </c>
      <c r="U203" s="59" t="s">
        <v>733</v>
      </c>
      <c r="V203" s="78" t="s">
        <v>713</v>
      </c>
      <c r="W203" s="59" t="s">
        <v>734</v>
      </c>
      <c r="X203" s="59" t="s">
        <v>797</v>
      </c>
      <c r="Y203" s="20" t="s">
        <v>717</v>
      </c>
      <c r="Z203" s="71">
        <v>0</v>
      </c>
      <c r="AA203" s="71">
        <v>37800</v>
      </c>
      <c r="AB203" s="71">
        <v>37800</v>
      </c>
      <c r="AC203" s="71">
        <v>37800</v>
      </c>
      <c r="AD203" s="71">
        <f t="shared" si="62"/>
        <v>37800</v>
      </c>
      <c r="AE203" s="71">
        <v>37800</v>
      </c>
      <c r="AF203" s="71">
        <f t="shared" si="63"/>
        <v>37800</v>
      </c>
    </row>
    <row r="204" spans="2:32" s="57" customFormat="1" x14ac:dyDescent="0.2">
      <c r="B204" s="12">
        <f t="shared" si="59"/>
        <v>187</v>
      </c>
      <c r="C204" s="20" t="s">
        <v>16</v>
      </c>
      <c r="D204" s="20">
        <v>170040430</v>
      </c>
      <c r="E204" s="20" t="str">
        <f t="shared" si="58"/>
        <v>170040430</v>
      </c>
      <c r="F204" s="20" t="s">
        <v>11</v>
      </c>
      <c r="G204" s="20" t="s">
        <v>98</v>
      </c>
      <c r="H204" s="20" t="s">
        <v>462</v>
      </c>
      <c r="I204" s="20"/>
      <c r="J204" s="20" t="s">
        <v>230</v>
      </c>
      <c r="K204" s="20" t="s">
        <v>14</v>
      </c>
      <c r="L204" s="20"/>
      <c r="M204" s="20" t="s">
        <v>21</v>
      </c>
      <c r="N204" s="20">
        <v>1</v>
      </c>
      <c r="O204" s="20" t="s">
        <v>15</v>
      </c>
      <c r="P204" s="20"/>
      <c r="Q204" s="20" t="s">
        <v>394</v>
      </c>
      <c r="R204" s="20" t="s">
        <v>344</v>
      </c>
      <c r="S204" s="58" t="s">
        <v>712</v>
      </c>
      <c r="T204" s="59" t="s">
        <v>792</v>
      </c>
      <c r="U204" s="59" t="s">
        <v>733</v>
      </c>
      <c r="V204" s="78" t="s">
        <v>713</v>
      </c>
      <c r="W204" s="59" t="s">
        <v>734</v>
      </c>
      <c r="X204" s="59" t="s">
        <v>797</v>
      </c>
      <c r="Y204" s="20" t="s">
        <v>717</v>
      </c>
      <c r="Z204" s="71">
        <v>0</v>
      </c>
      <c r="AA204" s="71">
        <v>35100</v>
      </c>
      <c r="AB204" s="71">
        <v>35100</v>
      </c>
      <c r="AC204" s="71">
        <v>35100</v>
      </c>
      <c r="AD204" s="71">
        <f t="shared" si="62"/>
        <v>35100</v>
      </c>
      <c r="AE204" s="71">
        <v>35100</v>
      </c>
      <c r="AF204" s="71">
        <f t="shared" si="63"/>
        <v>35100</v>
      </c>
    </row>
    <row r="205" spans="2:32" s="57" customFormat="1" x14ac:dyDescent="0.2">
      <c r="B205" s="12">
        <f t="shared" si="59"/>
        <v>188</v>
      </c>
      <c r="C205" s="20" t="s">
        <v>16</v>
      </c>
      <c r="D205" s="20">
        <v>170040440</v>
      </c>
      <c r="E205" s="20" t="str">
        <f t="shared" si="58"/>
        <v>170040440</v>
      </c>
      <c r="F205" s="20" t="s">
        <v>11</v>
      </c>
      <c r="G205" s="20" t="s">
        <v>29</v>
      </c>
      <c r="H205" s="20" t="s">
        <v>412</v>
      </c>
      <c r="I205" s="20"/>
      <c r="J205" s="20" t="s">
        <v>84</v>
      </c>
      <c r="K205" s="20" t="s">
        <v>14</v>
      </c>
      <c r="L205" s="20"/>
      <c r="M205" s="20" t="s">
        <v>21</v>
      </c>
      <c r="N205" s="20">
        <v>1</v>
      </c>
      <c r="O205" s="20" t="s">
        <v>15</v>
      </c>
      <c r="P205" s="20"/>
      <c r="Q205" s="20" t="s">
        <v>394</v>
      </c>
      <c r="R205" s="20" t="s">
        <v>344</v>
      </c>
      <c r="S205" s="58" t="s">
        <v>712</v>
      </c>
      <c r="T205" s="59" t="s">
        <v>792</v>
      </c>
      <c r="U205" s="59" t="s">
        <v>733</v>
      </c>
      <c r="V205" s="78" t="s">
        <v>716</v>
      </c>
      <c r="W205" s="59" t="s">
        <v>734</v>
      </c>
      <c r="X205" s="59" t="s">
        <v>797</v>
      </c>
      <c r="Y205" s="20" t="s">
        <v>717</v>
      </c>
      <c r="Z205" s="71">
        <v>0</v>
      </c>
      <c r="AA205" s="71">
        <v>27900</v>
      </c>
      <c r="AB205" s="71">
        <v>27900</v>
      </c>
      <c r="AC205" s="71">
        <v>27900</v>
      </c>
      <c r="AD205" s="71">
        <f t="shared" si="62"/>
        <v>27900</v>
      </c>
      <c r="AE205" s="71">
        <v>27900</v>
      </c>
      <c r="AF205" s="71">
        <f t="shared" si="63"/>
        <v>27900</v>
      </c>
    </row>
    <row r="206" spans="2:32" s="57" customFormat="1" x14ac:dyDescent="0.2">
      <c r="B206" s="12">
        <f t="shared" si="59"/>
        <v>189</v>
      </c>
      <c r="C206" s="20" t="s">
        <v>16</v>
      </c>
      <c r="D206" s="20">
        <v>170040450</v>
      </c>
      <c r="E206" s="20" t="str">
        <f t="shared" ref="E206:E269" si="64">TRIM(D206)</f>
        <v>170040450</v>
      </c>
      <c r="F206" s="20" t="s">
        <v>11</v>
      </c>
      <c r="G206" s="20" t="s">
        <v>60</v>
      </c>
      <c r="H206" s="20" t="s">
        <v>422</v>
      </c>
      <c r="I206" s="20"/>
      <c r="J206" s="20" t="s">
        <v>84</v>
      </c>
      <c r="K206" s="20" t="s">
        <v>14</v>
      </c>
      <c r="L206" s="20"/>
      <c r="M206" s="20" t="s">
        <v>21</v>
      </c>
      <c r="N206" s="20">
        <v>1</v>
      </c>
      <c r="O206" s="20" t="s">
        <v>15</v>
      </c>
      <c r="P206" s="20"/>
      <c r="Q206" s="20" t="s">
        <v>394</v>
      </c>
      <c r="R206" s="20" t="s">
        <v>344</v>
      </c>
      <c r="S206" s="58" t="s">
        <v>712</v>
      </c>
      <c r="T206" s="59" t="s">
        <v>792</v>
      </c>
      <c r="U206" s="59" t="s">
        <v>733</v>
      </c>
      <c r="V206" s="78" t="s">
        <v>716</v>
      </c>
      <c r="W206" s="59" t="s">
        <v>734</v>
      </c>
      <c r="X206" s="59" t="s">
        <v>797</v>
      </c>
      <c r="Y206" s="20" t="s">
        <v>717</v>
      </c>
      <c r="Z206" s="71">
        <v>0</v>
      </c>
      <c r="AA206" s="71">
        <v>29250</v>
      </c>
      <c r="AB206" s="71">
        <v>29250</v>
      </c>
      <c r="AC206" s="71">
        <v>29250</v>
      </c>
      <c r="AD206" s="71">
        <f t="shared" si="62"/>
        <v>29250</v>
      </c>
      <c r="AE206" s="71">
        <v>29250</v>
      </c>
      <c r="AF206" s="71">
        <f t="shared" si="63"/>
        <v>29250</v>
      </c>
    </row>
    <row r="207" spans="2:32" s="57" customFormat="1" x14ac:dyDescent="0.2">
      <c r="B207" s="12">
        <f t="shared" si="59"/>
        <v>190</v>
      </c>
      <c r="C207" s="20" t="s">
        <v>16</v>
      </c>
      <c r="D207" s="20">
        <v>170040470</v>
      </c>
      <c r="E207" s="20" t="str">
        <f t="shared" si="64"/>
        <v>170040470</v>
      </c>
      <c r="F207" s="20" t="s">
        <v>11</v>
      </c>
      <c r="G207" s="20" t="s">
        <v>29</v>
      </c>
      <c r="H207" s="20" t="s">
        <v>412</v>
      </c>
      <c r="I207" s="20"/>
      <c r="J207" s="20" t="s">
        <v>84</v>
      </c>
      <c r="K207" s="20" t="s">
        <v>14</v>
      </c>
      <c r="L207" s="20"/>
      <c r="M207" s="20" t="s">
        <v>21</v>
      </c>
      <c r="N207" s="20">
        <v>1</v>
      </c>
      <c r="O207" s="20" t="s">
        <v>15</v>
      </c>
      <c r="P207" s="20"/>
      <c r="Q207" s="20" t="s">
        <v>394</v>
      </c>
      <c r="R207" s="20" t="s">
        <v>344</v>
      </c>
      <c r="S207" s="58" t="s">
        <v>712</v>
      </c>
      <c r="T207" s="59" t="s">
        <v>792</v>
      </c>
      <c r="U207" s="59" t="s">
        <v>733</v>
      </c>
      <c r="V207" s="78" t="s">
        <v>713</v>
      </c>
      <c r="W207" s="59" t="s">
        <v>734</v>
      </c>
      <c r="X207" s="59" t="s">
        <v>797</v>
      </c>
      <c r="Y207" s="20" t="s">
        <v>717</v>
      </c>
      <c r="Z207" s="71">
        <v>0</v>
      </c>
      <c r="AA207" s="71">
        <v>6300</v>
      </c>
      <c r="AB207" s="71">
        <v>6300</v>
      </c>
      <c r="AC207" s="71">
        <v>6300</v>
      </c>
      <c r="AD207" s="71">
        <f t="shared" si="62"/>
        <v>6300</v>
      </c>
      <c r="AE207" s="71">
        <v>6300</v>
      </c>
      <c r="AF207" s="71">
        <f t="shared" si="63"/>
        <v>6300</v>
      </c>
    </row>
    <row r="208" spans="2:32" s="57" customFormat="1" x14ac:dyDescent="0.2">
      <c r="B208" s="12">
        <f t="shared" si="59"/>
        <v>191</v>
      </c>
      <c r="C208" s="20" t="s">
        <v>16</v>
      </c>
      <c r="D208" s="20">
        <v>170040480</v>
      </c>
      <c r="E208" s="20" t="str">
        <f t="shared" si="64"/>
        <v>170040480</v>
      </c>
      <c r="F208" s="20" t="s">
        <v>11</v>
      </c>
      <c r="G208" s="20" t="s">
        <v>60</v>
      </c>
      <c r="H208" s="20" t="s">
        <v>422</v>
      </c>
      <c r="I208" s="20"/>
      <c r="J208" s="20" t="s">
        <v>84</v>
      </c>
      <c r="K208" s="20" t="s">
        <v>14</v>
      </c>
      <c r="L208" s="20"/>
      <c r="M208" s="20" t="s">
        <v>18</v>
      </c>
      <c r="N208" s="20">
        <v>2</v>
      </c>
      <c r="O208" s="20" t="s">
        <v>15</v>
      </c>
      <c r="P208" s="20"/>
      <c r="Q208" s="20" t="s">
        <v>394</v>
      </c>
      <c r="R208" s="20" t="s">
        <v>344</v>
      </c>
      <c r="S208" s="58" t="s">
        <v>712</v>
      </c>
      <c r="T208" s="59" t="s">
        <v>792</v>
      </c>
      <c r="U208" s="59" t="s">
        <v>733</v>
      </c>
      <c r="V208" s="78" t="s">
        <v>716</v>
      </c>
      <c r="W208" s="59" t="s">
        <v>734</v>
      </c>
      <c r="X208" s="59" t="s">
        <v>797</v>
      </c>
      <c r="Y208" s="20" t="s">
        <v>717</v>
      </c>
      <c r="Z208" s="71">
        <v>29174</v>
      </c>
      <c r="AA208" s="71">
        <v>27900</v>
      </c>
      <c r="AB208" s="71">
        <v>55800</v>
      </c>
      <c r="AC208" s="71">
        <v>27900</v>
      </c>
      <c r="AD208" s="71">
        <f t="shared" si="62"/>
        <v>55800</v>
      </c>
      <c r="AE208" s="71">
        <v>27900</v>
      </c>
      <c r="AF208" s="71">
        <f t="shared" si="63"/>
        <v>55800</v>
      </c>
    </row>
    <row r="209" spans="2:32" s="57" customFormat="1" x14ac:dyDescent="0.2">
      <c r="B209" s="12">
        <f t="shared" si="59"/>
        <v>192</v>
      </c>
      <c r="C209" s="20" t="s">
        <v>16</v>
      </c>
      <c r="D209" s="20">
        <v>170040490</v>
      </c>
      <c r="E209" s="20" t="str">
        <f t="shared" si="64"/>
        <v>170040490</v>
      </c>
      <c r="F209" s="20" t="s">
        <v>11</v>
      </c>
      <c r="G209" s="20" t="s">
        <v>60</v>
      </c>
      <c r="H209" s="20" t="s">
        <v>422</v>
      </c>
      <c r="I209" s="20"/>
      <c r="J209" s="20" t="s">
        <v>84</v>
      </c>
      <c r="K209" s="20" t="s">
        <v>14</v>
      </c>
      <c r="L209" s="20"/>
      <c r="M209" s="20" t="s">
        <v>18</v>
      </c>
      <c r="N209" s="20">
        <v>2</v>
      </c>
      <c r="O209" s="20" t="s">
        <v>15</v>
      </c>
      <c r="P209" s="20"/>
      <c r="Q209" s="20" t="s">
        <v>394</v>
      </c>
      <c r="R209" s="20" t="s">
        <v>344</v>
      </c>
      <c r="S209" s="58" t="s">
        <v>712</v>
      </c>
      <c r="T209" s="59" t="s">
        <v>792</v>
      </c>
      <c r="U209" s="59" t="s">
        <v>733</v>
      </c>
      <c r="V209" s="78" t="s">
        <v>716</v>
      </c>
      <c r="W209" s="59" t="s">
        <v>734</v>
      </c>
      <c r="X209" s="59" t="s">
        <v>797</v>
      </c>
      <c r="Y209" s="20" t="s">
        <v>717</v>
      </c>
      <c r="Z209" s="71">
        <v>36453</v>
      </c>
      <c r="AA209" s="71">
        <v>35550</v>
      </c>
      <c r="AB209" s="71">
        <v>71100</v>
      </c>
      <c r="AC209" s="71">
        <v>35550</v>
      </c>
      <c r="AD209" s="71">
        <f t="shared" si="62"/>
        <v>71100</v>
      </c>
      <c r="AE209" s="71">
        <v>35550</v>
      </c>
      <c r="AF209" s="71">
        <f t="shared" si="63"/>
        <v>71100</v>
      </c>
    </row>
    <row r="210" spans="2:32" s="57" customFormat="1" x14ac:dyDescent="0.2">
      <c r="B210" s="12">
        <f t="shared" si="59"/>
        <v>193</v>
      </c>
      <c r="C210" s="20" t="s">
        <v>16</v>
      </c>
      <c r="D210" s="20">
        <v>170040500</v>
      </c>
      <c r="E210" s="20" t="str">
        <f t="shared" si="64"/>
        <v>170040500</v>
      </c>
      <c r="F210" s="20" t="s">
        <v>11</v>
      </c>
      <c r="G210" s="20" t="s">
        <v>60</v>
      </c>
      <c r="H210" s="20" t="s">
        <v>422</v>
      </c>
      <c r="I210" s="20"/>
      <c r="J210" s="20" t="s">
        <v>84</v>
      </c>
      <c r="K210" s="20" t="s">
        <v>14</v>
      </c>
      <c r="L210" s="20"/>
      <c r="M210" s="20" t="s">
        <v>18</v>
      </c>
      <c r="N210" s="20">
        <v>2</v>
      </c>
      <c r="O210" s="20" t="s">
        <v>15</v>
      </c>
      <c r="P210" s="20"/>
      <c r="Q210" s="20" t="s">
        <v>394</v>
      </c>
      <c r="R210" s="20" t="s">
        <v>344</v>
      </c>
      <c r="S210" s="58" t="s">
        <v>712</v>
      </c>
      <c r="T210" s="59" t="s">
        <v>792</v>
      </c>
      <c r="U210" s="59" t="s">
        <v>733</v>
      </c>
      <c r="V210" s="78" t="s">
        <v>713</v>
      </c>
      <c r="W210" s="59" t="s">
        <v>734</v>
      </c>
      <c r="X210" s="59" t="s">
        <v>797</v>
      </c>
      <c r="Y210" s="20" t="s">
        <v>717</v>
      </c>
      <c r="Z210" s="71">
        <v>36453</v>
      </c>
      <c r="AA210" s="71">
        <v>35640</v>
      </c>
      <c r="AB210" s="71">
        <v>71280</v>
      </c>
      <c r="AC210" s="71">
        <v>35640</v>
      </c>
      <c r="AD210" s="71">
        <f t="shared" si="62"/>
        <v>71280</v>
      </c>
      <c r="AE210" s="71">
        <v>35640</v>
      </c>
      <c r="AF210" s="71">
        <f t="shared" si="63"/>
        <v>71280</v>
      </c>
    </row>
    <row r="211" spans="2:32" s="57" customFormat="1" x14ac:dyDescent="0.2">
      <c r="B211" s="12">
        <f t="shared" si="59"/>
        <v>194</v>
      </c>
      <c r="C211" s="20" t="s">
        <v>16</v>
      </c>
      <c r="D211" s="20">
        <v>170088640</v>
      </c>
      <c r="E211" s="20" t="str">
        <f t="shared" si="64"/>
        <v>170088640</v>
      </c>
      <c r="F211" s="20" t="s">
        <v>11</v>
      </c>
      <c r="G211" s="20" t="s">
        <v>23</v>
      </c>
      <c r="H211" s="20" t="s">
        <v>410</v>
      </c>
      <c r="I211" s="20"/>
      <c r="J211" s="20" t="s">
        <v>231</v>
      </c>
      <c r="K211" s="20" t="s">
        <v>14</v>
      </c>
      <c r="L211" s="20"/>
      <c r="M211" s="20" t="s">
        <v>21</v>
      </c>
      <c r="N211" s="20">
        <v>1</v>
      </c>
      <c r="O211" s="20" t="s">
        <v>15</v>
      </c>
      <c r="P211" s="20"/>
      <c r="Q211" s="20" t="s">
        <v>394</v>
      </c>
      <c r="R211" s="20" t="s">
        <v>344</v>
      </c>
      <c r="S211" s="58" t="s">
        <v>712</v>
      </c>
      <c r="T211" s="59" t="s">
        <v>792</v>
      </c>
      <c r="U211" s="59" t="s">
        <v>712</v>
      </c>
      <c r="V211" s="78" t="s">
        <v>713</v>
      </c>
      <c r="W211" s="59" t="s">
        <v>819</v>
      </c>
      <c r="X211" s="59" t="s">
        <v>751</v>
      </c>
      <c r="Y211" s="20" t="s">
        <v>717</v>
      </c>
      <c r="Z211" s="71">
        <v>0</v>
      </c>
      <c r="AA211" s="71">
        <v>71000</v>
      </c>
      <c r="AB211" s="71">
        <v>71000</v>
      </c>
      <c r="AC211" s="71">
        <v>71000</v>
      </c>
      <c r="AD211" s="71">
        <f t="shared" si="62"/>
        <v>71000</v>
      </c>
      <c r="AE211" s="71">
        <v>71000</v>
      </c>
      <c r="AF211" s="71">
        <f t="shared" si="63"/>
        <v>71000</v>
      </c>
    </row>
    <row r="212" spans="2:32" s="57" customFormat="1" x14ac:dyDescent="0.2">
      <c r="B212" s="19">
        <f t="shared" si="59"/>
        <v>195</v>
      </c>
      <c r="C212" s="18" t="s">
        <v>16</v>
      </c>
      <c r="D212" s="18">
        <v>170088650</v>
      </c>
      <c r="E212" s="18" t="str">
        <f t="shared" si="64"/>
        <v>170088650</v>
      </c>
      <c r="F212" s="18" t="s">
        <v>11</v>
      </c>
      <c r="G212" s="18" t="s">
        <v>232</v>
      </c>
      <c r="H212" s="18" t="s">
        <v>445</v>
      </c>
      <c r="I212" s="18" t="s">
        <v>529</v>
      </c>
      <c r="J212" s="18" t="s">
        <v>233</v>
      </c>
      <c r="K212" s="18" t="s">
        <v>14</v>
      </c>
      <c r="L212" s="18"/>
      <c r="M212" s="18" t="s">
        <v>21</v>
      </c>
      <c r="N212" s="18">
        <v>1</v>
      </c>
      <c r="O212" s="18" t="s">
        <v>38</v>
      </c>
      <c r="P212" s="18"/>
      <c r="Q212" s="18" t="s">
        <v>394</v>
      </c>
      <c r="R212" s="18" t="s">
        <v>344</v>
      </c>
      <c r="S212" s="55" t="s">
        <v>712</v>
      </c>
      <c r="T212" s="56" t="s">
        <v>792</v>
      </c>
      <c r="U212" s="56" t="s">
        <v>712</v>
      </c>
      <c r="V212" s="76" t="s">
        <v>716</v>
      </c>
      <c r="W212" s="56" t="s">
        <v>819</v>
      </c>
      <c r="X212" s="56" t="s">
        <v>751</v>
      </c>
      <c r="Y212" s="18" t="s">
        <v>717</v>
      </c>
      <c r="Z212" s="73">
        <v>0</v>
      </c>
      <c r="AA212" s="73">
        <v>62000</v>
      </c>
      <c r="AB212" s="73">
        <v>62000</v>
      </c>
      <c r="AC212" s="73">
        <v>62000</v>
      </c>
      <c r="AD212" s="73">
        <f t="shared" si="62"/>
        <v>62000</v>
      </c>
      <c r="AE212" s="73">
        <v>62000</v>
      </c>
      <c r="AF212" s="73">
        <f t="shared" si="63"/>
        <v>62000</v>
      </c>
    </row>
    <row r="213" spans="2:32" s="57" customFormat="1" x14ac:dyDescent="0.2">
      <c r="B213" s="12">
        <f t="shared" ref="B213:B276" si="65">B212+1</f>
        <v>196</v>
      </c>
      <c r="C213" s="20" t="s">
        <v>16</v>
      </c>
      <c r="D213" s="20">
        <v>170088660</v>
      </c>
      <c r="E213" s="20" t="str">
        <f t="shared" si="64"/>
        <v>170088660</v>
      </c>
      <c r="F213" s="20" t="s">
        <v>11</v>
      </c>
      <c r="G213" s="20" t="s">
        <v>234</v>
      </c>
      <c r="H213" s="20" t="s">
        <v>463</v>
      </c>
      <c r="I213" s="20"/>
      <c r="J213" s="20" t="s">
        <v>235</v>
      </c>
      <c r="K213" s="20" t="s">
        <v>14</v>
      </c>
      <c r="L213" s="20"/>
      <c r="M213" s="20" t="s">
        <v>21</v>
      </c>
      <c r="N213" s="20">
        <v>1</v>
      </c>
      <c r="O213" s="20" t="s">
        <v>15</v>
      </c>
      <c r="P213" s="20"/>
      <c r="Q213" s="20" t="s">
        <v>394</v>
      </c>
      <c r="R213" s="20" t="s">
        <v>344</v>
      </c>
      <c r="S213" s="58" t="s">
        <v>712</v>
      </c>
      <c r="T213" s="59" t="s">
        <v>792</v>
      </c>
      <c r="U213" s="59" t="s">
        <v>712</v>
      </c>
      <c r="V213" s="78" t="s">
        <v>716</v>
      </c>
      <c r="W213" s="59" t="s">
        <v>819</v>
      </c>
      <c r="X213" s="59" t="s">
        <v>751</v>
      </c>
      <c r="Y213" s="20" t="s">
        <v>717</v>
      </c>
      <c r="Z213" s="71">
        <v>549028</v>
      </c>
      <c r="AA213" s="71">
        <v>468000</v>
      </c>
      <c r="AB213" s="71">
        <v>468000</v>
      </c>
      <c r="AC213" s="71">
        <v>468000</v>
      </c>
      <c r="AD213" s="71">
        <f t="shared" si="62"/>
        <v>468000</v>
      </c>
      <c r="AE213" s="71">
        <v>468000</v>
      </c>
      <c r="AF213" s="71">
        <f t="shared" si="63"/>
        <v>468000</v>
      </c>
    </row>
    <row r="214" spans="2:32" s="57" customFormat="1" x14ac:dyDescent="0.2">
      <c r="B214" s="12">
        <f t="shared" si="65"/>
        <v>197</v>
      </c>
      <c r="C214" s="20" t="s">
        <v>16</v>
      </c>
      <c r="D214" s="20">
        <v>170116040</v>
      </c>
      <c r="E214" s="20" t="str">
        <f t="shared" si="64"/>
        <v>170116040</v>
      </c>
      <c r="F214" s="20" t="s">
        <v>11</v>
      </c>
      <c r="G214" s="20" t="s">
        <v>23</v>
      </c>
      <c r="H214" s="20" t="s">
        <v>410</v>
      </c>
      <c r="I214" s="20"/>
      <c r="J214" s="20" t="s">
        <v>236</v>
      </c>
      <c r="K214" s="20" t="s">
        <v>14</v>
      </c>
      <c r="L214" s="20"/>
      <c r="M214" s="20" t="s">
        <v>18</v>
      </c>
      <c r="N214" s="20">
        <v>2</v>
      </c>
      <c r="O214" s="20" t="s">
        <v>15</v>
      </c>
      <c r="P214" s="20"/>
      <c r="Q214" s="20" t="s">
        <v>394</v>
      </c>
      <c r="R214" s="20" t="s">
        <v>360</v>
      </c>
      <c r="S214" s="58" t="s">
        <v>727</v>
      </c>
      <c r="T214" s="59" t="s">
        <v>793</v>
      </c>
      <c r="U214" s="59" t="s">
        <v>712</v>
      </c>
      <c r="V214" s="78" t="s">
        <v>794</v>
      </c>
      <c r="W214" s="59" t="s">
        <v>727</v>
      </c>
      <c r="X214" s="59" t="s">
        <v>798</v>
      </c>
      <c r="Y214" s="20" t="s">
        <v>717</v>
      </c>
      <c r="Z214" s="71">
        <v>0</v>
      </c>
      <c r="AA214" s="71">
        <v>7184</v>
      </c>
      <c r="AB214" s="71">
        <v>14368</v>
      </c>
      <c r="AC214" s="71">
        <v>7184</v>
      </c>
      <c r="AD214" s="71">
        <f t="shared" si="62"/>
        <v>14368</v>
      </c>
      <c r="AE214" s="71">
        <v>7184</v>
      </c>
      <c r="AF214" s="71">
        <f t="shared" si="63"/>
        <v>14368</v>
      </c>
    </row>
    <row r="215" spans="2:32" s="57" customFormat="1" x14ac:dyDescent="0.2">
      <c r="B215" s="12">
        <f t="shared" si="65"/>
        <v>198</v>
      </c>
      <c r="C215" s="20" t="s">
        <v>16</v>
      </c>
      <c r="D215" s="20">
        <v>170152477</v>
      </c>
      <c r="E215" s="20" t="str">
        <f t="shared" si="64"/>
        <v>170152477</v>
      </c>
      <c r="F215" s="20" t="s">
        <v>11</v>
      </c>
      <c r="G215" s="20" t="s">
        <v>237</v>
      </c>
      <c r="H215" s="20" t="s">
        <v>464</v>
      </c>
      <c r="I215" s="20"/>
      <c r="J215" s="20" t="s">
        <v>238</v>
      </c>
      <c r="K215" s="20" t="s">
        <v>14</v>
      </c>
      <c r="L215" s="20"/>
      <c r="M215" s="20" t="s">
        <v>21</v>
      </c>
      <c r="N215" s="20">
        <v>1</v>
      </c>
      <c r="O215" s="20" t="s">
        <v>38</v>
      </c>
      <c r="P215" s="20"/>
      <c r="Q215" s="20" t="s">
        <v>394</v>
      </c>
      <c r="R215" s="20" t="s">
        <v>344</v>
      </c>
      <c r="S215" s="58" t="s">
        <v>712</v>
      </c>
      <c r="T215" s="59" t="s">
        <v>792</v>
      </c>
      <c r="U215" s="59" t="s">
        <v>712</v>
      </c>
      <c r="V215" s="78" t="s">
        <v>716</v>
      </c>
      <c r="W215" s="59" t="s">
        <v>819</v>
      </c>
      <c r="X215" s="59" t="s">
        <v>751</v>
      </c>
      <c r="Y215" s="20" t="s">
        <v>717</v>
      </c>
      <c r="Z215" s="71">
        <v>715183.5</v>
      </c>
      <c r="AA215" s="71">
        <v>610000</v>
      </c>
      <c r="AB215" s="71">
        <v>610000</v>
      </c>
      <c r="AC215" s="71">
        <v>610000</v>
      </c>
      <c r="AD215" s="71">
        <f t="shared" si="62"/>
        <v>610000</v>
      </c>
      <c r="AE215" s="71">
        <v>610000</v>
      </c>
      <c r="AF215" s="71">
        <f t="shared" si="63"/>
        <v>610000</v>
      </c>
    </row>
    <row r="216" spans="2:32" s="57" customFormat="1" x14ac:dyDescent="0.2">
      <c r="B216" s="12">
        <f t="shared" si="65"/>
        <v>199</v>
      </c>
      <c r="C216" s="20" t="s">
        <v>16</v>
      </c>
      <c r="D216" s="20">
        <v>170155415</v>
      </c>
      <c r="E216" s="20" t="str">
        <f t="shared" si="64"/>
        <v>170155415</v>
      </c>
      <c r="F216" s="20" t="s">
        <v>11</v>
      </c>
      <c r="G216" s="20" t="s">
        <v>23</v>
      </c>
      <c r="H216" s="20" t="s">
        <v>410</v>
      </c>
      <c r="I216" s="20"/>
      <c r="J216" s="20" t="s">
        <v>239</v>
      </c>
      <c r="K216" s="20" t="s">
        <v>14</v>
      </c>
      <c r="L216" s="20"/>
      <c r="M216" s="20" t="s">
        <v>200</v>
      </c>
      <c r="N216" s="20">
        <v>6</v>
      </c>
      <c r="O216" s="20" t="s">
        <v>15</v>
      </c>
      <c r="P216" s="20"/>
      <c r="Q216" s="20" t="s">
        <v>394</v>
      </c>
      <c r="R216" s="20" t="s">
        <v>344</v>
      </c>
      <c r="S216" s="58" t="s">
        <v>712</v>
      </c>
      <c r="T216" s="59" t="s">
        <v>792</v>
      </c>
      <c r="U216" s="59" t="s">
        <v>733</v>
      </c>
      <c r="V216" s="78" t="s">
        <v>716</v>
      </c>
      <c r="W216" s="59" t="s">
        <v>734</v>
      </c>
      <c r="X216" s="59" t="s">
        <v>797</v>
      </c>
      <c r="Y216" s="20" t="s">
        <v>717</v>
      </c>
      <c r="Z216" s="71">
        <v>0</v>
      </c>
      <c r="AA216" s="71">
        <v>14040</v>
      </c>
      <c r="AB216" s="71">
        <v>84240</v>
      </c>
      <c r="AC216" s="71">
        <v>14040</v>
      </c>
      <c r="AD216" s="71">
        <f t="shared" si="62"/>
        <v>84240</v>
      </c>
      <c r="AE216" s="71">
        <v>14040</v>
      </c>
      <c r="AF216" s="71">
        <f t="shared" si="63"/>
        <v>84240</v>
      </c>
    </row>
    <row r="217" spans="2:32" s="57" customFormat="1" x14ac:dyDescent="0.2">
      <c r="B217" s="12">
        <f t="shared" si="65"/>
        <v>200</v>
      </c>
      <c r="C217" s="20" t="s">
        <v>16</v>
      </c>
      <c r="D217" s="20">
        <v>170159378</v>
      </c>
      <c r="E217" s="20" t="str">
        <f t="shared" si="64"/>
        <v>170159378</v>
      </c>
      <c r="F217" s="20" t="s">
        <v>11</v>
      </c>
      <c r="G217" s="20" t="s">
        <v>23</v>
      </c>
      <c r="H217" s="20" t="s">
        <v>410</v>
      </c>
      <c r="I217" s="20"/>
      <c r="J217" s="20" t="s">
        <v>240</v>
      </c>
      <c r="K217" s="20" t="s">
        <v>14</v>
      </c>
      <c r="L217" s="20"/>
      <c r="M217" s="20" t="s">
        <v>21</v>
      </c>
      <c r="N217" s="20">
        <v>1</v>
      </c>
      <c r="O217" s="20" t="s">
        <v>15</v>
      </c>
      <c r="P217" s="20"/>
      <c r="Q217" s="20" t="s">
        <v>394</v>
      </c>
      <c r="R217" s="20" t="s">
        <v>344</v>
      </c>
      <c r="S217" s="58" t="s">
        <v>712</v>
      </c>
      <c r="T217" s="59" t="s">
        <v>792</v>
      </c>
      <c r="U217" s="59" t="s">
        <v>712</v>
      </c>
      <c r="V217" s="78" t="s">
        <v>716</v>
      </c>
      <c r="W217" s="59" t="s">
        <v>819</v>
      </c>
      <c r="X217" s="59" t="s">
        <v>751</v>
      </c>
      <c r="Y217" s="20" t="s">
        <v>717</v>
      </c>
      <c r="Z217" s="71">
        <v>0</v>
      </c>
      <c r="AA217" s="71">
        <v>16000</v>
      </c>
      <c r="AB217" s="71">
        <v>16000</v>
      </c>
      <c r="AC217" s="71">
        <v>16000</v>
      </c>
      <c r="AD217" s="71">
        <f t="shared" si="62"/>
        <v>16000</v>
      </c>
      <c r="AE217" s="71">
        <v>16000</v>
      </c>
      <c r="AF217" s="71">
        <f t="shared" si="63"/>
        <v>16000</v>
      </c>
    </row>
    <row r="218" spans="2:32" s="57" customFormat="1" x14ac:dyDescent="0.2">
      <c r="B218" s="12">
        <f t="shared" si="65"/>
        <v>201</v>
      </c>
      <c r="C218" s="20" t="s">
        <v>16</v>
      </c>
      <c r="D218" s="20">
        <v>170168368</v>
      </c>
      <c r="E218" s="20" t="str">
        <f t="shared" si="64"/>
        <v>170168368</v>
      </c>
      <c r="F218" s="20" t="s">
        <v>11</v>
      </c>
      <c r="G218" s="20" t="s">
        <v>23</v>
      </c>
      <c r="H218" s="20" t="s">
        <v>410</v>
      </c>
      <c r="I218" s="20"/>
      <c r="J218" s="20" t="s">
        <v>241</v>
      </c>
      <c r="K218" s="20" t="s">
        <v>14</v>
      </c>
      <c r="L218" s="20"/>
      <c r="M218" s="20" t="s">
        <v>21</v>
      </c>
      <c r="N218" s="20">
        <v>1</v>
      </c>
      <c r="O218" s="20" t="s">
        <v>15</v>
      </c>
      <c r="P218" s="20"/>
      <c r="Q218" s="20" t="s">
        <v>394</v>
      </c>
      <c r="R218" s="20" t="s">
        <v>344</v>
      </c>
      <c r="S218" s="58" t="s">
        <v>712</v>
      </c>
      <c r="T218" s="59" t="s">
        <v>792</v>
      </c>
      <c r="U218" s="59" t="s">
        <v>712</v>
      </c>
      <c r="V218" s="78" t="s">
        <v>713</v>
      </c>
      <c r="W218" s="59" t="s">
        <v>819</v>
      </c>
      <c r="X218" s="59" t="s">
        <v>751</v>
      </c>
      <c r="Y218" s="20" t="s">
        <v>717</v>
      </c>
      <c r="Z218" s="71">
        <v>0</v>
      </c>
      <c r="AA218" s="71">
        <v>16000</v>
      </c>
      <c r="AB218" s="71">
        <v>16000</v>
      </c>
      <c r="AC218" s="71">
        <v>16000</v>
      </c>
      <c r="AD218" s="71">
        <f t="shared" si="62"/>
        <v>16000</v>
      </c>
      <c r="AE218" s="71">
        <v>16000</v>
      </c>
      <c r="AF218" s="71">
        <f t="shared" si="63"/>
        <v>16000</v>
      </c>
    </row>
    <row r="219" spans="2:32" s="57" customFormat="1" x14ac:dyDescent="0.2">
      <c r="B219" s="12">
        <f t="shared" si="65"/>
        <v>202</v>
      </c>
      <c r="C219" s="20" t="s">
        <v>16</v>
      </c>
      <c r="D219" s="20">
        <v>170174646</v>
      </c>
      <c r="E219" s="20" t="str">
        <f t="shared" si="64"/>
        <v>170174646</v>
      </c>
      <c r="F219" s="20" t="s">
        <v>11</v>
      </c>
      <c r="G219" s="20" t="s">
        <v>23</v>
      </c>
      <c r="H219" s="20" t="s">
        <v>410</v>
      </c>
      <c r="I219" s="20"/>
      <c r="J219" s="20" t="s">
        <v>242</v>
      </c>
      <c r="K219" s="20" t="s">
        <v>14</v>
      </c>
      <c r="L219" s="20"/>
      <c r="M219" s="20" t="s">
        <v>21</v>
      </c>
      <c r="N219" s="20">
        <v>1</v>
      </c>
      <c r="O219" s="20" t="s">
        <v>15</v>
      </c>
      <c r="P219" s="20"/>
      <c r="Q219" s="20" t="s">
        <v>394</v>
      </c>
      <c r="R219" s="20" t="s">
        <v>344</v>
      </c>
      <c r="S219" s="58" t="s">
        <v>712</v>
      </c>
      <c r="T219" s="59" t="s">
        <v>792</v>
      </c>
      <c r="U219" s="59" t="s">
        <v>712</v>
      </c>
      <c r="V219" s="78" t="s">
        <v>713</v>
      </c>
      <c r="W219" s="59" t="s">
        <v>819</v>
      </c>
      <c r="X219" s="59" t="s">
        <v>751</v>
      </c>
      <c r="Y219" s="20" t="s">
        <v>717</v>
      </c>
      <c r="Z219" s="71">
        <v>0</v>
      </c>
      <c r="AA219" s="71">
        <v>16000</v>
      </c>
      <c r="AB219" s="71">
        <v>16000</v>
      </c>
      <c r="AC219" s="71">
        <v>16000</v>
      </c>
      <c r="AD219" s="71">
        <f t="shared" si="62"/>
        <v>16000</v>
      </c>
      <c r="AE219" s="71">
        <v>16000</v>
      </c>
      <c r="AF219" s="71">
        <f t="shared" si="63"/>
        <v>16000</v>
      </c>
    </row>
    <row r="220" spans="2:32" s="57" customFormat="1" x14ac:dyDescent="0.2">
      <c r="B220" s="12">
        <f t="shared" si="65"/>
        <v>203</v>
      </c>
      <c r="C220" s="20" t="s">
        <v>16</v>
      </c>
      <c r="D220" s="20">
        <v>170176252</v>
      </c>
      <c r="E220" s="20" t="str">
        <f t="shared" si="64"/>
        <v>170176252</v>
      </c>
      <c r="F220" s="20" t="s">
        <v>11</v>
      </c>
      <c r="G220" s="20" t="s">
        <v>243</v>
      </c>
      <c r="H220" s="20" t="s">
        <v>465</v>
      </c>
      <c r="I220" s="20"/>
      <c r="J220" s="20" t="s">
        <v>244</v>
      </c>
      <c r="K220" s="20" t="s">
        <v>14</v>
      </c>
      <c r="L220" s="20"/>
      <c r="M220" s="20" t="s">
        <v>21</v>
      </c>
      <c r="N220" s="20">
        <v>1</v>
      </c>
      <c r="O220" s="20" t="s">
        <v>15</v>
      </c>
      <c r="P220" s="20"/>
      <c r="Q220" s="20" t="s">
        <v>394</v>
      </c>
      <c r="R220" s="20" t="s">
        <v>360</v>
      </c>
      <c r="S220" s="58" t="s">
        <v>727</v>
      </c>
      <c r="T220" s="59" t="s">
        <v>793</v>
      </c>
      <c r="U220" s="59" t="s">
        <v>712</v>
      </c>
      <c r="V220" s="78" t="s">
        <v>794</v>
      </c>
      <c r="W220" s="59" t="s">
        <v>727</v>
      </c>
      <c r="X220" s="59" t="s">
        <v>798</v>
      </c>
      <c r="Y220" s="20" t="s">
        <v>717</v>
      </c>
      <c r="Z220" s="71">
        <v>0</v>
      </c>
      <c r="AA220" s="71">
        <v>13584</v>
      </c>
      <c r="AB220" s="71">
        <v>13584</v>
      </c>
      <c r="AC220" s="71">
        <v>13584</v>
      </c>
      <c r="AD220" s="71">
        <f t="shared" si="62"/>
        <v>13584</v>
      </c>
      <c r="AE220" s="71">
        <v>13584</v>
      </c>
      <c r="AF220" s="71">
        <f t="shared" si="63"/>
        <v>13584</v>
      </c>
    </row>
    <row r="221" spans="2:32" s="57" customFormat="1" x14ac:dyDescent="0.2">
      <c r="B221" s="15">
        <f t="shared" si="65"/>
        <v>204</v>
      </c>
      <c r="C221" s="11" t="s">
        <v>16</v>
      </c>
      <c r="D221" s="11">
        <v>190005705</v>
      </c>
      <c r="E221" s="20" t="str">
        <f t="shared" si="64"/>
        <v>190005705</v>
      </c>
      <c r="F221" s="11" t="s">
        <v>11</v>
      </c>
      <c r="G221" s="11" t="s">
        <v>245</v>
      </c>
      <c r="H221" s="11" t="s">
        <v>466</v>
      </c>
      <c r="I221" s="11"/>
      <c r="J221" s="11" t="s">
        <v>246</v>
      </c>
      <c r="K221" s="11" t="s">
        <v>14</v>
      </c>
      <c r="L221" s="11"/>
      <c r="M221" s="11" t="s">
        <v>21</v>
      </c>
      <c r="N221" s="11">
        <v>1</v>
      </c>
      <c r="O221" s="11" t="s">
        <v>15</v>
      </c>
      <c r="P221" s="11"/>
      <c r="Q221" s="11" t="s">
        <v>354</v>
      </c>
      <c r="R221" s="11" t="s">
        <v>354</v>
      </c>
      <c r="S221" s="47"/>
      <c r="T221" s="48"/>
      <c r="U221" s="48"/>
      <c r="V221" s="77"/>
      <c r="W221" s="48"/>
      <c r="X221" s="48"/>
      <c r="Y221" s="11"/>
      <c r="Z221" s="70"/>
      <c r="AA221" s="70"/>
      <c r="AB221" s="70"/>
      <c r="AC221" s="70"/>
      <c r="AD221" s="70"/>
      <c r="AE221" s="70"/>
      <c r="AF221" s="70"/>
    </row>
    <row r="222" spans="2:32" s="57" customFormat="1" ht="27" x14ac:dyDescent="0.2">
      <c r="B222" s="12">
        <f t="shared" si="65"/>
        <v>205</v>
      </c>
      <c r="C222" s="20" t="s">
        <v>22</v>
      </c>
      <c r="D222" s="20">
        <v>340001808</v>
      </c>
      <c r="E222" s="20" t="str">
        <f t="shared" si="64"/>
        <v>340001808</v>
      </c>
      <c r="F222" s="20" t="s">
        <v>11</v>
      </c>
      <c r="G222" s="20" t="s">
        <v>60</v>
      </c>
      <c r="H222" s="20" t="s">
        <v>422</v>
      </c>
      <c r="I222" s="20"/>
      <c r="J222" s="20" t="s">
        <v>247</v>
      </c>
      <c r="K222" s="20" t="s">
        <v>127</v>
      </c>
      <c r="L222" s="20"/>
      <c r="M222" s="20" t="s">
        <v>21</v>
      </c>
      <c r="N222" s="20">
        <v>1</v>
      </c>
      <c r="O222" s="20" t="s">
        <v>15</v>
      </c>
      <c r="P222" s="20"/>
      <c r="Q222" s="20" t="s">
        <v>395</v>
      </c>
      <c r="R222" s="20" t="s">
        <v>346</v>
      </c>
      <c r="S222" s="58" t="s">
        <v>848</v>
      </c>
      <c r="T222" s="59" t="s">
        <v>721</v>
      </c>
      <c r="U222" s="59" t="s">
        <v>718</v>
      </c>
      <c r="V222" s="78" t="s">
        <v>1007</v>
      </c>
      <c r="W222" s="59" t="s">
        <v>852</v>
      </c>
      <c r="X222" s="59" t="s">
        <v>854</v>
      </c>
      <c r="Y222" s="20" t="s">
        <v>843</v>
      </c>
      <c r="Z222" s="71">
        <v>0</v>
      </c>
      <c r="AA222" s="71">
        <v>128.16999999999999</v>
      </c>
      <c r="AB222" s="71">
        <v>185846.49999999997</v>
      </c>
      <c r="AC222" s="71">
        <v>128.16999999999999</v>
      </c>
      <c r="AD222" s="87">
        <f>($Y$1*$AC222)*$N222</f>
        <v>173798.52</v>
      </c>
      <c r="AE222" s="71">
        <v>128.16999999999999</v>
      </c>
      <c r="AF222" s="87">
        <f>($Y$1*$AC222)*$N222</f>
        <v>173798.52</v>
      </c>
    </row>
    <row r="223" spans="2:32" s="57" customFormat="1" ht="40.5" x14ac:dyDescent="0.2">
      <c r="B223" s="12">
        <f t="shared" si="65"/>
        <v>206</v>
      </c>
      <c r="C223" s="20" t="s">
        <v>22</v>
      </c>
      <c r="D223" s="20">
        <v>7500022</v>
      </c>
      <c r="E223" s="20" t="str">
        <f t="shared" si="64"/>
        <v>7500022</v>
      </c>
      <c r="F223" s="20" t="s">
        <v>11</v>
      </c>
      <c r="G223" s="20" t="s">
        <v>248</v>
      </c>
      <c r="H223" s="20" t="s">
        <v>467</v>
      </c>
      <c r="I223" s="20"/>
      <c r="J223" s="20" t="s">
        <v>249</v>
      </c>
      <c r="K223" s="20" t="s">
        <v>68</v>
      </c>
      <c r="L223" s="20"/>
      <c r="M223" s="20" t="s">
        <v>25</v>
      </c>
      <c r="N223" s="20">
        <v>0</v>
      </c>
      <c r="O223" s="20" t="s">
        <v>15</v>
      </c>
      <c r="P223" s="20"/>
      <c r="Q223" s="20" t="s">
        <v>395</v>
      </c>
      <c r="R223" s="20" t="s">
        <v>346</v>
      </c>
      <c r="S223" s="58" t="s">
        <v>849</v>
      </c>
      <c r="T223" s="59" t="s">
        <v>721</v>
      </c>
      <c r="U223" s="59" t="s">
        <v>718</v>
      </c>
      <c r="V223" s="78" t="s">
        <v>1008</v>
      </c>
      <c r="W223" s="59" t="s">
        <v>811</v>
      </c>
      <c r="X223" s="59" t="s">
        <v>854</v>
      </c>
      <c r="Y223" s="20" t="s">
        <v>717</v>
      </c>
      <c r="Z223" s="71">
        <v>0</v>
      </c>
      <c r="AA223" s="71">
        <v>3993</v>
      </c>
      <c r="AB223" s="71">
        <v>0</v>
      </c>
      <c r="AC223" s="71">
        <v>3993</v>
      </c>
      <c r="AD223" s="71">
        <v>0</v>
      </c>
      <c r="AE223" s="71">
        <v>3993</v>
      </c>
      <c r="AF223" s="71">
        <v>0</v>
      </c>
    </row>
    <row r="224" spans="2:32" s="57" customFormat="1" ht="27" x14ac:dyDescent="0.2">
      <c r="B224" s="12">
        <f t="shared" si="65"/>
        <v>207</v>
      </c>
      <c r="C224" s="20" t="s">
        <v>22</v>
      </c>
      <c r="D224" s="20">
        <v>7500024</v>
      </c>
      <c r="E224" s="20" t="str">
        <f t="shared" si="64"/>
        <v>7500024</v>
      </c>
      <c r="F224" s="20" t="s">
        <v>11</v>
      </c>
      <c r="G224" s="20" t="s">
        <v>250</v>
      </c>
      <c r="H224" s="20" t="s">
        <v>468</v>
      </c>
      <c r="I224" s="20"/>
      <c r="J224" s="20" t="s">
        <v>251</v>
      </c>
      <c r="K224" s="20" t="s">
        <v>70</v>
      </c>
      <c r="L224" s="20"/>
      <c r="M224" s="20" t="s">
        <v>25</v>
      </c>
      <c r="N224" s="20">
        <v>0</v>
      </c>
      <c r="O224" s="20" t="s">
        <v>15</v>
      </c>
      <c r="P224" s="20"/>
      <c r="Q224" s="20" t="s">
        <v>395</v>
      </c>
      <c r="R224" s="20" t="s">
        <v>346</v>
      </c>
      <c r="S224" s="58" t="s">
        <v>850</v>
      </c>
      <c r="T224" s="59" t="s">
        <v>721</v>
      </c>
      <c r="U224" s="59" t="s">
        <v>720</v>
      </c>
      <c r="V224" s="78" t="s">
        <v>1009</v>
      </c>
      <c r="W224" s="59" t="s">
        <v>811</v>
      </c>
      <c r="X224" s="59" t="s">
        <v>712</v>
      </c>
      <c r="Y224" s="20" t="s">
        <v>717</v>
      </c>
      <c r="Z224" s="71">
        <v>0</v>
      </c>
      <c r="AA224" s="71">
        <v>4677</v>
      </c>
      <c r="AB224" s="71">
        <v>0</v>
      </c>
      <c r="AC224" s="71">
        <v>4677</v>
      </c>
      <c r="AD224" s="71">
        <v>0</v>
      </c>
      <c r="AE224" s="71">
        <v>4677</v>
      </c>
      <c r="AF224" s="71">
        <v>0</v>
      </c>
    </row>
    <row r="225" spans="2:32" s="57" customFormat="1" ht="27" x14ac:dyDescent="0.2">
      <c r="B225" s="49">
        <f t="shared" si="65"/>
        <v>208</v>
      </c>
      <c r="C225" s="50" t="s">
        <v>22</v>
      </c>
      <c r="D225" s="50">
        <v>860005057</v>
      </c>
      <c r="E225" s="20" t="str">
        <f t="shared" si="64"/>
        <v>860005057</v>
      </c>
      <c r="F225" s="50" t="s">
        <v>11</v>
      </c>
      <c r="G225" s="50" t="s">
        <v>159</v>
      </c>
      <c r="H225" s="50" t="s">
        <v>447</v>
      </c>
      <c r="I225" s="50"/>
      <c r="J225" s="50" t="s">
        <v>252</v>
      </c>
      <c r="K225" s="50" t="s">
        <v>83</v>
      </c>
      <c r="L225" s="50"/>
      <c r="M225" s="50" t="s">
        <v>25</v>
      </c>
      <c r="N225" s="50">
        <v>0</v>
      </c>
      <c r="O225" s="50" t="s">
        <v>15</v>
      </c>
      <c r="P225" s="50"/>
      <c r="Q225" s="50" t="s">
        <v>352</v>
      </c>
      <c r="R225" s="50" t="s">
        <v>352</v>
      </c>
      <c r="S225" s="51" t="s">
        <v>851</v>
      </c>
      <c r="T225" s="52" t="s">
        <v>712</v>
      </c>
      <c r="U225" s="52" t="s">
        <v>712</v>
      </c>
      <c r="V225" s="79" t="s">
        <v>739</v>
      </c>
      <c r="W225" s="52" t="s">
        <v>712</v>
      </c>
      <c r="X225" s="52" t="s">
        <v>712</v>
      </c>
      <c r="Y225" s="50" t="s">
        <v>717</v>
      </c>
      <c r="Z225" s="72">
        <v>0</v>
      </c>
      <c r="AA225" s="72">
        <v>0</v>
      </c>
      <c r="AB225" s="72">
        <v>0</v>
      </c>
      <c r="AC225" s="72">
        <v>0</v>
      </c>
      <c r="AD225" s="72">
        <v>0</v>
      </c>
      <c r="AE225" s="72">
        <v>0</v>
      </c>
      <c r="AF225" s="72">
        <v>0</v>
      </c>
    </row>
    <row r="226" spans="2:32" s="57" customFormat="1" x14ac:dyDescent="0.2">
      <c r="B226" s="49">
        <f t="shared" si="65"/>
        <v>209</v>
      </c>
      <c r="C226" s="50" t="s">
        <v>22</v>
      </c>
      <c r="D226" s="50">
        <v>8600780</v>
      </c>
      <c r="E226" s="20" t="str">
        <f t="shared" si="64"/>
        <v>8600780</v>
      </c>
      <c r="F226" s="50" t="s">
        <v>11</v>
      </c>
      <c r="G226" s="50" t="s">
        <v>155</v>
      </c>
      <c r="H226" s="50" t="s">
        <v>446</v>
      </c>
      <c r="I226" s="50"/>
      <c r="J226" s="50" t="s">
        <v>156</v>
      </c>
      <c r="K226" s="50" t="s">
        <v>106</v>
      </c>
      <c r="L226" s="50"/>
      <c r="M226" s="50" t="s">
        <v>25</v>
      </c>
      <c r="N226" s="50">
        <v>0</v>
      </c>
      <c r="O226" s="50" t="s">
        <v>38</v>
      </c>
      <c r="P226" s="50"/>
      <c r="Q226" s="50" t="s">
        <v>352</v>
      </c>
      <c r="R226" s="50" t="s">
        <v>352</v>
      </c>
      <c r="S226" s="51" t="s">
        <v>712</v>
      </c>
      <c r="T226" s="52" t="s">
        <v>712</v>
      </c>
      <c r="U226" s="52" t="s">
        <v>712</v>
      </c>
      <c r="V226" s="79" t="s">
        <v>740</v>
      </c>
      <c r="W226" s="52" t="s">
        <v>712</v>
      </c>
      <c r="X226" s="52" t="s">
        <v>712</v>
      </c>
      <c r="Y226" s="50" t="s">
        <v>717</v>
      </c>
      <c r="Z226" s="72">
        <v>0</v>
      </c>
      <c r="AA226" s="72">
        <v>0</v>
      </c>
      <c r="AB226" s="72">
        <v>0</v>
      </c>
      <c r="AC226" s="72">
        <v>0</v>
      </c>
      <c r="AD226" s="72">
        <v>0</v>
      </c>
      <c r="AE226" s="72">
        <v>0</v>
      </c>
      <c r="AF226" s="72">
        <v>0</v>
      </c>
    </row>
    <row r="227" spans="2:32" s="57" customFormat="1" x14ac:dyDescent="0.2">
      <c r="B227" s="49">
        <f t="shared" si="65"/>
        <v>210</v>
      </c>
      <c r="C227" s="50" t="s">
        <v>22</v>
      </c>
      <c r="D227" s="50">
        <v>8800222</v>
      </c>
      <c r="E227" s="20" t="str">
        <f t="shared" si="64"/>
        <v>8800222</v>
      </c>
      <c r="F227" s="50" t="s">
        <v>11</v>
      </c>
      <c r="G227" s="50" t="s">
        <v>176</v>
      </c>
      <c r="H227" s="50" t="s">
        <v>452</v>
      </c>
      <c r="I227" s="50"/>
      <c r="J227" s="50" t="s">
        <v>177</v>
      </c>
      <c r="K227" s="50" t="s">
        <v>76</v>
      </c>
      <c r="L227" s="50"/>
      <c r="M227" s="50" t="s">
        <v>25</v>
      </c>
      <c r="N227" s="50">
        <v>0</v>
      </c>
      <c r="O227" s="50" t="s">
        <v>38</v>
      </c>
      <c r="P227" s="50"/>
      <c r="Q227" s="50" t="s">
        <v>352</v>
      </c>
      <c r="R227" s="50" t="s">
        <v>352</v>
      </c>
      <c r="S227" s="51" t="s">
        <v>712</v>
      </c>
      <c r="T227" s="52" t="s">
        <v>712</v>
      </c>
      <c r="U227" s="52" t="s">
        <v>712</v>
      </c>
      <c r="V227" s="79" t="s">
        <v>741</v>
      </c>
      <c r="W227" s="52" t="s">
        <v>712</v>
      </c>
      <c r="X227" s="52" t="s">
        <v>712</v>
      </c>
      <c r="Y227" s="50" t="s">
        <v>717</v>
      </c>
      <c r="Z227" s="72">
        <v>0</v>
      </c>
      <c r="AA227" s="72">
        <v>0</v>
      </c>
      <c r="AB227" s="72">
        <v>0</v>
      </c>
      <c r="AC227" s="72">
        <v>0</v>
      </c>
      <c r="AD227" s="72">
        <v>0</v>
      </c>
      <c r="AE227" s="72">
        <v>0</v>
      </c>
      <c r="AF227" s="72">
        <v>0</v>
      </c>
    </row>
    <row r="228" spans="2:32" s="57" customFormat="1" x14ac:dyDescent="0.2">
      <c r="B228" s="12">
        <f t="shared" si="65"/>
        <v>211</v>
      </c>
      <c r="C228" s="20" t="s">
        <v>22</v>
      </c>
      <c r="D228" s="20">
        <v>900000755</v>
      </c>
      <c r="E228" s="20" t="str">
        <f t="shared" si="64"/>
        <v>900000755</v>
      </c>
      <c r="F228" s="20" t="s">
        <v>11</v>
      </c>
      <c r="G228" s="20" t="s">
        <v>253</v>
      </c>
      <c r="H228" s="20" t="s">
        <v>469</v>
      </c>
      <c r="I228" s="20"/>
      <c r="J228" s="20" t="s">
        <v>254</v>
      </c>
      <c r="K228" s="20" t="s">
        <v>77</v>
      </c>
      <c r="L228" s="20"/>
      <c r="M228" s="20" t="s">
        <v>18</v>
      </c>
      <c r="N228" s="20">
        <v>2</v>
      </c>
      <c r="O228" s="20" t="s">
        <v>15</v>
      </c>
      <c r="P228" s="20"/>
      <c r="Q228" s="20" t="s">
        <v>395</v>
      </c>
      <c r="R228" s="20" t="s">
        <v>346</v>
      </c>
      <c r="S228" s="58" t="s">
        <v>774</v>
      </c>
      <c r="T228" s="59" t="s">
        <v>722</v>
      </c>
      <c r="U228" s="59" t="s">
        <v>720</v>
      </c>
      <c r="V228" s="78" t="s">
        <v>742</v>
      </c>
      <c r="W228" s="59" t="s">
        <v>727</v>
      </c>
      <c r="X228" s="59" t="s">
        <v>846</v>
      </c>
      <c r="Y228" s="20" t="s">
        <v>717</v>
      </c>
      <c r="Z228" s="71">
        <v>0</v>
      </c>
      <c r="AA228" s="71">
        <v>580</v>
      </c>
      <c r="AB228" s="71">
        <v>1160</v>
      </c>
      <c r="AC228" s="71">
        <v>580</v>
      </c>
      <c r="AD228" s="71">
        <f t="shared" ref="AD228:AD229" si="66">$AC228*$N228</f>
        <v>1160</v>
      </c>
      <c r="AE228" s="71">
        <v>580</v>
      </c>
      <c r="AF228" s="71">
        <f t="shared" ref="AF228:AF229" si="67">$AE228*$N228</f>
        <v>1160</v>
      </c>
    </row>
    <row r="229" spans="2:32" s="57" customFormat="1" x14ac:dyDescent="0.2">
      <c r="B229" s="12">
        <f t="shared" si="65"/>
        <v>212</v>
      </c>
      <c r="C229" s="20" t="s">
        <v>22</v>
      </c>
      <c r="D229" s="20">
        <v>900001259</v>
      </c>
      <c r="E229" s="20" t="str">
        <f t="shared" si="64"/>
        <v>900001259</v>
      </c>
      <c r="F229" s="20" t="s">
        <v>11</v>
      </c>
      <c r="G229" s="20" t="s">
        <v>255</v>
      </c>
      <c r="H229" s="20" t="s">
        <v>470</v>
      </c>
      <c r="I229" s="20"/>
      <c r="J229" s="20" t="s">
        <v>256</v>
      </c>
      <c r="K229" s="20" t="s">
        <v>96</v>
      </c>
      <c r="L229" s="20"/>
      <c r="M229" s="20" t="s">
        <v>257</v>
      </c>
      <c r="N229" s="20">
        <v>10</v>
      </c>
      <c r="O229" s="20" t="s">
        <v>15</v>
      </c>
      <c r="P229" s="20"/>
      <c r="Q229" s="20" t="s">
        <v>395</v>
      </c>
      <c r="R229" s="20" t="s">
        <v>346</v>
      </c>
      <c r="S229" s="58" t="s">
        <v>774</v>
      </c>
      <c r="T229" s="59" t="s">
        <v>722</v>
      </c>
      <c r="U229" s="59" t="s">
        <v>720</v>
      </c>
      <c r="V229" s="78" t="s">
        <v>743</v>
      </c>
      <c r="W229" s="59" t="s">
        <v>727</v>
      </c>
      <c r="X229" s="59" t="s">
        <v>846</v>
      </c>
      <c r="Y229" s="20" t="s">
        <v>717</v>
      </c>
      <c r="Z229" s="71">
        <v>0</v>
      </c>
      <c r="AA229" s="71">
        <v>560</v>
      </c>
      <c r="AB229" s="71">
        <v>5600</v>
      </c>
      <c r="AC229" s="71">
        <v>560</v>
      </c>
      <c r="AD229" s="71">
        <f t="shared" si="66"/>
        <v>5600</v>
      </c>
      <c r="AE229" s="71">
        <v>560</v>
      </c>
      <c r="AF229" s="71">
        <f t="shared" si="67"/>
        <v>5600</v>
      </c>
    </row>
    <row r="230" spans="2:32" s="57" customFormat="1" x14ac:dyDescent="0.2">
      <c r="B230" s="15">
        <f t="shared" si="65"/>
        <v>213</v>
      </c>
      <c r="C230" s="11" t="s">
        <v>16</v>
      </c>
      <c r="D230" s="11">
        <v>190005706</v>
      </c>
      <c r="E230" s="20" t="str">
        <f t="shared" si="64"/>
        <v>190005706</v>
      </c>
      <c r="F230" s="11" t="s">
        <v>11</v>
      </c>
      <c r="G230" s="11" t="s">
        <v>245</v>
      </c>
      <c r="H230" s="11" t="s">
        <v>466</v>
      </c>
      <c r="I230" s="11"/>
      <c r="J230" s="11" t="s">
        <v>258</v>
      </c>
      <c r="K230" s="11" t="s">
        <v>14</v>
      </c>
      <c r="L230" s="11"/>
      <c r="M230" s="11" t="s">
        <v>21</v>
      </c>
      <c r="N230" s="11">
        <v>1</v>
      </c>
      <c r="O230" s="11" t="s">
        <v>15</v>
      </c>
      <c r="P230" s="11"/>
      <c r="Q230" s="11" t="s">
        <v>354</v>
      </c>
      <c r="R230" s="11" t="s">
        <v>354</v>
      </c>
      <c r="S230" s="47"/>
      <c r="T230" s="48"/>
      <c r="U230" s="48"/>
      <c r="V230" s="77"/>
      <c r="W230" s="48"/>
      <c r="X230" s="48"/>
      <c r="Y230" s="11"/>
      <c r="Z230" s="70"/>
      <c r="AA230" s="70"/>
      <c r="AB230" s="70"/>
      <c r="AC230" s="70"/>
      <c r="AD230" s="70"/>
      <c r="AE230" s="70"/>
      <c r="AF230" s="70"/>
    </row>
    <row r="231" spans="2:32" s="57" customFormat="1" ht="27" x14ac:dyDescent="0.2">
      <c r="B231" s="12">
        <f t="shared" si="65"/>
        <v>214</v>
      </c>
      <c r="C231" s="20" t="s">
        <v>22</v>
      </c>
      <c r="D231" s="20">
        <v>340001808</v>
      </c>
      <c r="E231" s="20" t="str">
        <f t="shared" si="64"/>
        <v>340001808</v>
      </c>
      <c r="F231" s="20" t="s">
        <v>11</v>
      </c>
      <c r="G231" s="20" t="s">
        <v>60</v>
      </c>
      <c r="H231" s="20" t="s">
        <v>422</v>
      </c>
      <c r="I231" s="20"/>
      <c r="J231" s="20" t="s">
        <v>247</v>
      </c>
      <c r="K231" s="20" t="s">
        <v>127</v>
      </c>
      <c r="L231" s="20"/>
      <c r="M231" s="20" t="s">
        <v>21</v>
      </c>
      <c r="N231" s="20">
        <v>1</v>
      </c>
      <c r="O231" s="20" t="s">
        <v>15</v>
      </c>
      <c r="P231" s="20"/>
      <c r="Q231" s="20" t="s">
        <v>395</v>
      </c>
      <c r="R231" s="20" t="s">
        <v>346</v>
      </c>
      <c r="S231" s="58" t="s">
        <v>848</v>
      </c>
      <c r="T231" s="59" t="s">
        <v>721</v>
      </c>
      <c r="U231" s="59" t="s">
        <v>718</v>
      </c>
      <c r="V231" s="78" t="s">
        <v>1010</v>
      </c>
      <c r="W231" s="59" t="s">
        <v>852</v>
      </c>
      <c r="X231" s="59" t="s">
        <v>854</v>
      </c>
      <c r="Y231" s="20" t="s">
        <v>843</v>
      </c>
      <c r="Z231" s="71">
        <v>0</v>
      </c>
      <c r="AA231" s="71">
        <v>128.16999999999999</v>
      </c>
      <c r="AB231" s="71">
        <v>185846.49999999997</v>
      </c>
      <c r="AC231" s="71">
        <v>128.16999999999999</v>
      </c>
      <c r="AD231" s="87">
        <f>($Y$1*$AC231)*$N231</f>
        <v>173798.52</v>
      </c>
      <c r="AE231" s="71">
        <v>128.16999999999999</v>
      </c>
      <c r="AF231" s="87">
        <f>($Y$1*$AC231)*$N231</f>
        <v>173798.52</v>
      </c>
    </row>
    <row r="232" spans="2:32" s="57" customFormat="1" x14ac:dyDescent="0.2">
      <c r="B232" s="12">
        <f t="shared" si="65"/>
        <v>215</v>
      </c>
      <c r="C232" s="20" t="s">
        <v>22</v>
      </c>
      <c r="D232" s="20">
        <v>3402935</v>
      </c>
      <c r="E232" s="20" t="str">
        <f t="shared" si="64"/>
        <v>3402935</v>
      </c>
      <c r="F232" s="20" t="s">
        <v>11</v>
      </c>
      <c r="G232" s="20" t="s">
        <v>23</v>
      </c>
      <c r="H232" s="20" t="s">
        <v>410</v>
      </c>
      <c r="I232" s="20"/>
      <c r="J232" s="20" t="s">
        <v>259</v>
      </c>
      <c r="K232" s="20" t="s">
        <v>260</v>
      </c>
      <c r="L232" s="20"/>
      <c r="M232" s="20" t="s">
        <v>74</v>
      </c>
      <c r="N232" s="20">
        <v>3</v>
      </c>
      <c r="O232" s="20" t="s">
        <v>15</v>
      </c>
      <c r="P232" s="20"/>
      <c r="Q232" s="20" t="s">
        <v>395</v>
      </c>
      <c r="R232" s="20" t="s">
        <v>346</v>
      </c>
      <c r="S232" s="58" t="s">
        <v>856</v>
      </c>
      <c r="T232" s="59" t="s">
        <v>738</v>
      </c>
      <c r="U232" s="59" t="s">
        <v>719</v>
      </c>
      <c r="V232" s="78" t="s">
        <v>870</v>
      </c>
      <c r="W232" s="59" t="s">
        <v>853</v>
      </c>
      <c r="X232" s="59" t="s">
        <v>855</v>
      </c>
      <c r="Y232" s="20" t="s">
        <v>717</v>
      </c>
      <c r="Z232" s="71">
        <v>0</v>
      </c>
      <c r="AA232" s="71">
        <v>1070</v>
      </c>
      <c r="AB232" s="71">
        <v>3210</v>
      </c>
      <c r="AC232" s="71">
        <v>1070</v>
      </c>
      <c r="AD232" s="71">
        <f>$AC232*$N232</f>
        <v>3210</v>
      </c>
      <c r="AE232" s="71">
        <v>1070</v>
      </c>
      <c r="AF232" s="71">
        <f>$AE232*$N232</f>
        <v>3210</v>
      </c>
    </row>
    <row r="233" spans="2:32" s="57" customFormat="1" ht="40.5" x14ac:dyDescent="0.2">
      <c r="B233" s="12">
        <f t="shared" si="65"/>
        <v>216</v>
      </c>
      <c r="C233" s="20" t="s">
        <v>22</v>
      </c>
      <c r="D233" s="20">
        <v>7500022</v>
      </c>
      <c r="E233" s="20" t="str">
        <f t="shared" si="64"/>
        <v>7500022</v>
      </c>
      <c r="F233" s="20" t="s">
        <v>11</v>
      </c>
      <c r="G233" s="20" t="s">
        <v>248</v>
      </c>
      <c r="H233" s="20" t="s">
        <v>467</v>
      </c>
      <c r="I233" s="20"/>
      <c r="J233" s="20" t="s">
        <v>249</v>
      </c>
      <c r="K233" s="20" t="s">
        <v>70</v>
      </c>
      <c r="L233" s="20"/>
      <c r="M233" s="20" t="s">
        <v>25</v>
      </c>
      <c r="N233" s="20">
        <v>0</v>
      </c>
      <c r="O233" s="20" t="s">
        <v>15</v>
      </c>
      <c r="P233" s="20"/>
      <c r="Q233" s="20" t="s">
        <v>395</v>
      </c>
      <c r="R233" s="20" t="s">
        <v>346</v>
      </c>
      <c r="S233" s="58" t="s">
        <v>849</v>
      </c>
      <c r="T233" s="59" t="s">
        <v>721</v>
      </c>
      <c r="U233" s="59" t="s">
        <v>718</v>
      </c>
      <c r="V233" s="78" t="s">
        <v>1011</v>
      </c>
      <c r="W233" s="59" t="s">
        <v>811</v>
      </c>
      <c r="X233" s="59" t="s">
        <v>854</v>
      </c>
      <c r="Y233" s="20" t="s">
        <v>717</v>
      </c>
      <c r="Z233" s="71">
        <v>0</v>
      </c>
      <c r="AA233" s="71">
        <v>3993</v>
      </c>
      <c r="AB233" s="71">
        <v>0</v>
      </c>
      <c r="AC233" s="71">
        <v>3993</v>
      </c>
      <c r="AD233" s="71">
        <v>0</v>
      </c>
      <c r="AE233" s="71">
        <v>3993</v>
      </c>
      <c r="AF233" s="71">
        <v>0</v>
      </c>
    </row>
    <row r="234" spans="2:32" s="57" customFormat="1" ht="27" x14ac:dyDescent="0.2">
      <c r="B234" s="12">
        <f t="shared" si="65"/>
        <v>217</v>
      </c>
      <c r="C234" s="20" t="s">
        <v>22</v>
      </c>
      <c r="D234" s="20">
        <v>7500024</v>
      </c>
      <c r="E234" s="20" t="str">
        <f t="shared" si="64"/>
        <v>7500024</v>
      </c>
      <c r="F234" s="20" t="s">
        <v>11</v>
      </c>
      <c r="G234" s="20" t="s">
        <v>250</v>
      </c>
      <c r="H234" s="20" t="s">
        <v>468</v>
      </c>
      <c r="I234" s="20"/>
      <c r="J234" s="20" t="s">
        <v>251</v>
      </c>
      <c r="K234" s="20" t="s">
        <v>83</v>
      </c>
      <c r="L234" s="20"/>
      <c r="M234" s="20" t="s">
        <v>25</v>
      </c>
      <c r="N234" s="20">
        <v>0</v>
      </c>
      <c r="O234" s="20" t="s">
        <v>15</v>
      </c>
      <c r="P234" s="20"/>
      <c r="Q234" s="20" t="s">
        <v>395</v>
      </c>
      <c r="R234" s="20" t="s">
        <v>346</v>
      </c>
      <c r="S234" s="58" t="s">
        <v>850</v>
      </c>
      <c r="T234" s="59" t="s">
        <v>721</v>
      </c>
      <c r="U234" s="59" t="s">
        <v>720</v>
      </c>
      <c r="V234" s="78" t="s">
        <v>1009</v>
      </c>
      <c r="W234" s="59" t="s">
        <v>811</v>
      </c>
      <c r="X234" s="59" t="s">
        <v>712</v>
      </c>
      <c r="Y234" s="20" t="s">
        <v>717</v>
      </c>
      <c r="Z234" s="71">
        <v>0</v>
      </c>
      <c r="AA234" s="71">
        <v>4677</v>
      </c>
      <c r="AB234" s="71">
        <v>0</v>
      </c>
      <c r="AC234" s="71">
        <v>4677</v>
      </c>
      <c r="AD234" s="71">
        <v>0</v>
      </c>
      <c r="AE234" s="71">
        <v>4677</v>
      </c>
      <c r="AF234" s="71">
        <v>0</v>
      </c>
    </row>
    <row r="235" spans="2:32" s="57" customFormat="1" ht="27" x14ac:dyDescent="0.2">
      <c r="B235" s="49">
        <f t="shared" si="65"/>
        <v>218</v>
      </c>
      <c r="C235" s="50" t="s">
        <v>22</v>
      </c>
      <c r="D235" s="50">
        <v>860005057</v>
      </c>
      <c r="E235" s="20" t="str">
        <f t="shared" si="64"/>
        <v>860005057</v>
      </c>
      <c r="F235" s="50" t="s">
        <v>11</v>
      </c>
      <c r="G235" s="50" t="s">
        <v>159</v>
      </c>
      <c r="H235" s="50" t="s">
        <v>447</v>
      </c>
      <c r="I235" s="50"/>
      <c r="J235" s="50" t="s">
        <v>403</v>
      </c>
      <c r="K235" s="50" t="s">
        <v>76</v>
      </c>
      <c r="L235" s="50"/>
      <c r="M235" s="50" t="s">
        <v>25</v>
      </c>
      <c r="N235" s="50">
        <v>0</v>
      </c>
      <c r="O235" s="50" t="s">
        <v>15</v>
      </c>
      <c r="P235" s="50"/>
      <c r="Q235" s="50" t="s">
        <v>352</v>
      </c>
      <c r="R235" s="50" t="s">
        <v>352</v>
      </c>
      <c r="S235" s="51" t="s">
        <v>851</v>
      </c>
      <c r="T235" s="52" t="s">
        <v>712</v>
      </c>
      <c r="U235" s="52" t="s">
        <v>712</v>
      </c>
      <c r="V235" s="79" t="s">
        <v>739</v>
      </c>
      <c r="W235" s="52" t="s">
        <v>712</v>
      </c>
      <c r="X235" s="52" t="s">
        <v>712</v>
      </c>
      <c r="Y235" s="50" t="s">
        <v>717</v>
      </c>
      <c r="Z235" s="72">
        <v>0</v>
      </c>
      <c r="AA235" s="72">
        <v>0</v>
      </c>
      <c r="AB235" s="72">
        <v>0</v>
      </c>
      <c r="AC235" s="72">
        <v>0</v>
      </c>
      <c r="AD235" s="72">
        <v>0</v>
      </c>
      <c r="AE235" s="72">
        <v>0</v>
      </c>
      <c r="AF235" s="72">
        <v>0</v>
      </c>
    </row>
    <row r="236" spans="2:32" s="57" customFormat="1" x14ac:dyDescent="0.2">
      <c r="B236" s="49">
        <f t="shared" si="65"/>
        <v>219</v>
      </c>
      <c r="C236" s="50" t="s">
        <v>22</v>
      </c>
      <c r="D236" s="50">
        <v>8600780</v>
      </c>
      <c r="E236" s="20" t="str">
        <f t="shared" si="64"/>
        <v>8600780</v>
      </c>
      <c r="F236" s="50" t="s">
        <v>11</v>
      </c>
      <c r="G236" s="50" t="s">
        <v>155</v>
      </c>
      <c r="H236" s="50" t="s">
        <v>446</v>
      </c>
      <c r="I236" s="50"/>
      <c r="J236" s="50" t="s">
        <v>156</v>
      </c>
      <c r="K236" s="50" t="s">
        <v>77</v>
      </c>
      <c r="L236" s="50"/>
      <c r="M236" s="50" t="s">
        <v>25</v>
      </c>
      <c r="N236" s="50">
        <v>0</v>
      </c>
      <c r="O236" s="50" t="s">
        <v>38</v>
      </c>
      <c r="P236" s="50"/>
      <c r="Q236" s="50" t="s">
        <v>352</v>
      </c>
      <c r="R236" s="50" t="s">
        <v>352</v>
      </c>
      <c r="S236" s="51" t="s">
        <v>712</v>
      </c>
      <c r="T236" s="52" t="s">
        <v>712</v>
      </c>
      <c r="U236" s="52" t="s">
        <v>712</v>
      </c>
      <c r="V236" s="79" t="s">
        <v>740</v>
      </c>
      <c r="W236" s="52" t="s">
        <v>712</v>
      </c>
      <c r="X236" s="52" t="s">
        <v>712</v>
      </c>
      <c r="Y236" s="50" t="s">
        <v>717</v>
      </c>
      <c r="Z236" s="72">
        <v>0</v>
      </c>
      <c r="AA236" s="72">
        <v>0</v>
      </c>
      <c r="AB236" s="72">
        <v>0</v>
      </c>
      <c r="AC236" s="72">
        <v>0</v>
      </c>
      <c r="AD236" s="72">
        <v>0</v>
      </c>
      <c r="AE236" s="72">
        <v>0</v>
      </c>
      <c r="AF236" s="72">
        <v>0</v>
      </c>
    </row>
    <row r="237" spans="2:32" s="57" customFormat="1" x14ac:dyDescent="0.2">
      <c r="B237" s="49">
        <f t="shared" si="65"/>
        <v>220</v>
      </c>
      <c r="C237" s="50" t="s">
        <v>22</v>
      </c>
      <c r="D237" s="50">
        <v>8800222</v>
      </c>
      <c r="E237" s="20" t="str">
        <f t="shared" si="64"/>
        <v>8800222</v>
      </c>
      <c r="F237" s="50" t="s">
        <v>11</v>
      </c>
      <c r="G237" s="50" t="s">
        <v>176</v>
      </c>
      <c r="H237" s="50" t="s">
        <v>452</v>
      </c>
      <c r="I237" s="50"/>
      <c r="J237" s="50" t="s">
        <v>177</v>
      </c>
      <c r="K237" s="50" t="s">
        <v>93</v>
      </c>
      <c r="L237" s="50"/>
      <c r="M237" s="50" t="s">
        <v>25</v>
      </c>
      <c r="N237" s="50">
        <v>0</v>
      </c>
      <c r="O237" s="50" t="s">
        <v>38</v>
      </c>
      <c r="P237" s="50"/>
      <c r="Q237" s="50" t="s">
        <v>352</v>
      </c>
      <c r="R237" s="50" t="s">
        <v>352</v>
      </c>
      <c r="S237" s="51" t="s">
        <v>712</v>
      </c>
      <c r="T237" s="52" t="s">
        <v>712</v>
      </c>
      <c r="U237" s="52" t="s">
        <v>712</v>
      </c>
      <c r="V237" s="79" t="s">
        <v>741</v>
      </c>
      <c r="W237" s="52" t="s">
        <v>712</v>
      </c>
      <c r="X237" s="52" t="s">
        <v>712</v>
      </c>
      <c r="Y237" s="50" t="s">
        <v>717</v>
      </c>
      <c r="Z237" s="72">
        <v>0</v>
      </c>
      <c r="AA237" s="72">
        <v>0</v>
      </c>
      <c r="AB237" s="72">
        <v>0</v>
      </c>
      <c r="AC237" s="72">
        <v>0</v>
      </c>
      <c r="AD237" s="72">
        <v>0</v>
      </c>
      <c r="AE237" s="72">
        <v>0</v>
      </c>
      <c r="AF237" s="72">
        <v>0</v>
      </c>
    </row>
    <row r="238" spans="2:32" s="57" customFormat="1" x14ac:dyDescent="0.2">
      <c r="B238" s="12">
        <f t="shared" si="65"/>
        <v>221</v>
      </c>
      <c r="C238" s="20" t="s">
        <v>22</v>
      </c>
      <c r="D238" s="20">
        <v>900000755</v>
      </c>
      <c r="E238" s="20" t="str">
        <f t="shared" si="64"/>
        <v>900000755</v>
      </c>
      <c r="F238" s="20" t="s">
        <v>11</v>
      </c>
      <c r="G238" s="20" t="s">
        <v>253</v>
      </c>
      <c r="H238" s="20" t="s">
        <v>469</v>
      </c>
      <c r="I238" s="20"/>
      <c r="J238" s="20" t="s">
        <v>254</v>
      </c>
      <c r="K238" s="20" t="s">
        <v>96</v>
      </c>
      <c r="L238" s="20"/>
      <c r="M238" s="20" t="s">
        <v>55</v>
      </c>
      <c r="N238" s="20">
        <v>4</v>
      </c>
      <c r="O238" s="20" t="s">
        <v>15</v>
      </c>
      <c r="P238" s="20"/>
      <c r="Q238" s="20" t="s">
        <v>395</v>
      </c>
      <c r="R238" s="20" t="s">
        <v>346</v>
      </c>
      <c r="S238" s="58" t="s">
        <v>774</v>
      </c>
      <c r="T238" s="59" t="s">
        <v>722</v>
      </c>
      <c r="U238" s="59" t="s">
        <v>720</v>
      </c>
      <c r="V238" s="78" t="s">
        <v>742</v>
      </c>
      <c r="W238" s="59" t="s">
        <v>727</v>
      </c>
      <c r="X238" s="59" t="s">
        <v>846</v>
      </c>
      <c r="Y238" s="20" t="s">
        <v>717</v>
      </c>
      <c r="Z238" s="71">
        <v>0</v>
      </c>
      <c r="AA238" s="71">
        <v>580</v>
      </c>
      <c r="AB238" s="71">
        <v>1160</v>
      </c>
      <c r="AC238" s="71">
        <v>580</v>
      </c>
      <c r="AD238" s="71">
        <f t="shared" ref="AD238:AD239" si="68">$AC238*$N238</f>
        <v>2320</v>
      </c>
      <c r="AE238" s="71">
        <v>580</v>
      </c>
      <c r="AF238" s="71">
        <f t="shared" ref="AF238:AF239" si="69">$AE238*$N238</f>
        <v>2320</v>
      </c>
    </row>
    <row r="239" spans="2:32" s="57" customFormat="1" x14ac:dyDescent="0.2">
      <c r="B239" s="12">
        <f t="shared" si="65"/>
        <v>222</v>
      </c>
      <c r="C239" s="20" t="s">
        <v>22</v>
      </c>
      <c r="D239" s="20">
        <v>900000756</v>
      </c>
      <c r="E239" s="20" t="str">
        <f t="shared" si="64"/>
        <v>900000756</v>
      </c>
      <c r="F239" s="20" t="s">
        <v>11</v>
      </c>
      <c r="G239" s="20" t="s">
        <v>60</v>
      </c>
      <c r="H239" s="20" t="s">
        <v>422</v>
      </c>
      <c r="I239" s="20"/>
      <c r="J239" s="20" t="s">
        <v>256</v>
      </c>
      <c r="K239" s="20" t="s">
        <v>72</v>
      </c>
      <c r="L239" s="20"/>
      <c r="M239" s="20" t="s">
        <v>18</v>
      </c>
      <c r="N239" s="20">
        <v>2</v>
      </c>
      <c r="O239" s="20" t="s">
        <v>15</v>
      </c>
      <c r="P239" s="20"/>
      <c r="Q239" s="20" t="s">
        <v>395</v>
      </c>
      <c r="R239" s="20" t="s">
        <v>346</v>
      </c>
      <c r="S239" s="58" t="s">
        <v>774</v>
      </c>
      <c r="T239" s="59" t="s">
        <v>721</v>
      </c>
      <c r="U239" s="59" t="s">
        <v>720</v>
      </c>
      <c r="V239" s="78" t="s">
        <v>871</v>
      </c>
      <c r="W239" s="59" t="s">
        <v>727</v>
      </c>
      <c r="X239" s="59" t="s">
        <v>846</v>
      </c>
      <c r="Y239" s="20" t="s">
        <v>717</v>
      </c>
      <c r="Z239" s="71">
        <v>0</v>
      </c>
      <c r="AA239" s="71">
        <v>580</v>
      </c>
      <c r="AB239" s="71">
        <v>1160</v>
      </c>
      <c r="AC239" s="71">
        <v>580</v>
      </c>
      <c r="AD239" s="71">
        <f t="shared" si="68"/>
        <v>1160</v>
      </c>
      <c r="AE239" s="71">
        <v>580</v>
      </c>
      <c r="AF239" s="71">
        <f t="shared" si="69"/>
        <v>1160</v>
      </c>
    </row>
    <row r="240" spans="2:32" s="57" customFormat="1" x14ac:dyDescent="0.2">
      <c r="B240" s="15">
        <f t="shared" si="65"/>
        <v>223</v>
      </c>
      <c r="C240" s="11" t="s">
        <v>16</v>
      </c>
      <c r="D240" s="11">
        <v>190005707</v>
      </c>
      <c r="E240" s="20" t="str">
        <f t="shared" si="64"/>
        <v>190005707</v>
      </c>
      <c r="F240" s="11" t="s">
        <v>11</v>
      </c>
      <c r="G240" s="11" t="s">
        <v>261</v>
      </c>
      <c r="H240" s="11" t="s">
        <v>471</v>
      </c>
      <c r="I240" s="11"/>
      <c r="J240" s="11" t="s">
        <v>262</v>
      </c>
      <c r="K240" s="11" t="s">
        <v>14</v>
      </c>
      <c r="L240" s="11"/>
      <c r="M240" s="11" t="s">
        <v>21</v>
      </c>
      <c r="N240" s="11">
        <v>1</v>
      </c>
      <c r="O240" s="11" t="s">
        <v>15</v>
      </c>
      <c r="P240" s="11"/>
      <c r="Q240" s="11" t="s">
        <v>354</v>
      </c>
      <c r="R240" s="11" t="s">
        <v>354</v>
      </c>
      <c r="S240" s="47"/>
      <c r="T240" s="48"/>
      <c r="U240" s="48"/>
      <c r="V240" s="77"/>
      <c r="W240" s="48"/>
      <c r="X240" s="48"/>
      <c r="Y240" s="11"/>
      <c r="Z240" s="70"/>
      <c r="AA240" s="70"/>
      <c r="AB240" s="70"/>
      <c r="AC240" s="70"/>
      <c r="AD240" s="70"/>
      <c r="AE240" s="70"/>
      <c r="AF240" s="70"/>
    </row>
    <row r="241" spans="2:32" s="57" customFormat="1" ht="27" x14ac:dyDescent="0.2">
      <c r="B241" s="12">
        <f t="shared" si="65"/>
        <v>224</v>
      </c>
      <c r="C241" s="20" t="s">
        <v>22</v>
      </c>
      <c r="D241" s="20">
        <v>340001808</v>
      </c>
      <c r="E241" s="20" t="str">
        <f t="shared" si="64"/>
        <v>340001808</v>
      </c>
      <c r="F241" s="20" t="s">
        <v>11</v>
      </c>
      <c r="G241" s="20" t="s">
        <v>60</v>
      </c>
      <c r="H241" s="20" t="s">
        <v>422</v>
      </c>
      <c r="I241" s="20"/>
      <c r="J241" s="20" t="s">
        <v>247</v>
      </c>
      <c r="K241" s="20" t="s">
        <v>127</v>
      </c>
      <c r="L241" s="20"/>
      <c r="M241" s="20" t="s">
        <v>21</v>
      </c>
      <c r="N241" s="20">
        <v>1</v>
      </c>
      <c r="O241" s="20" t="s">
        <v>15</v>
      </c>
      <c r="P241" s="20"/>
      <c r="Q241" s="20" t="s">
        <v>395</v>
      </c>
      <c r="R241" s="20" t="s">
        <v>346</v>
      </c>
      <c r="S241" s="58" t="s">
        <v>848</v>
      </c>
      <c r="T241" s="59" t="s">
        <v>721</v>
      </c>
      <c r="U241" s="59" t="s">
        <v>718</v>
      </c>
      <c r="V241" s="78" t="s">
        <v>1012</v>
      </c>
      <c r="W241" s="59" t="s">
        <v>852</v>
      </c>
      <c r="X241" s="59" t="s">
        <v>854</v>
      </c>
      <c r="Y241" s="20" t="s">
        <v>843</v>
      </c>
      <c r="Z241" s="71">
        <v>0</v>
      </c>
      <c r="AA241" s="71">
        <v>128.16999999999999</v>
      </c>
      <c r="AB241" s="71">
        <v>185846.49999999997</v>
      </c>
      <c r="AC241" s="71">
        <v>128.16999999999999</v>
      </c>
      <c r="AD241" s="87">
        <f>($Y$1*$AC241)*$N241</f>
        <v>173798.52</v>
      </c>
      <c r="AE241" s="71">
        <v>128.16999999999999</v>
      </c>
      <c r="AF241" s="87">
        <f>($Y$1*$AC241)*$N241</f>
        <v>173798.52</v>
      </c>
    </row>
    <row r="242" spans="2:32" s="57" customFormat="1" ht="27" x14ac:dyDescent="0.2">
      <c r="B242" s="12">
        <f t="shared" si="65"/>
        <v>225</v>
      </c>
      <c r="C242" s="20" t="s">
        <v>22</v>
      </c>
      <c r="D242" s="20">
        <v>3402836</v>
      </c>
      <c r="E242" s="20" t="str">
        <f t="shared" si="64"/>
        <v>3402836</v>
      </c>
      <c r="F242" s="20" t="s">
        <v>11</v>
      </c>
      <c r="G242" s="20" t="s">
        <v>60</v>
      </c>
      <c r="H242" s="20" t="s">
        <v>422</v>
      </c>
      <c r="I242" s="20"/>
      <c r="J242" s="20" t="s">
        <v>263</v>
      </c>
      <c r="K242" s="20" t="s">
        <v>68</v>
      </c>
      <c r="L242" s="20"/>
      <c r="M242" s="20" t="s">
        <v>18</v>
      </c>
      <c r="N242" s="20">
        <v>2</v>
      </c>
      <c r="O242" s="20" t="s">
        <v>15</v>
      </c>
      <c r="P242" s="20"/>
      <c r="Q242" s="20" t="s">
        <v>395</v>
      </c>
      <c r="R242" s="20" t="s">
        <v>346</v>
      </c>
      <c r="S242" s="58" t="s">
        <v>862</v>
      </c>
      <c r="T242" s="59" t="s">
        <v>738</v>
      </c>
      <c r="U242" s="59" t="s">
        <v>718</v>
      </c>
      <c r="V242" s="78" t="s">
        <v>1013</v>
      </c>
      <c r="W242" s="59" t="s">
        <v>853</v>
      </c>
      <c r="X242" s="59" t="s">
        <v>855</v>
      </c>
      <c r="Y242" s="20" t="s">
        <v>717</v>
      </c>
      <c r="Z242" s="71">
        <v>0</v>
      </c>
      <c r="AA242" s="71">
        <v>1260</v>
      </c>
      <c r="AB242" s="71">
        <v>2520</v>
      </c>
      <c r="AC242" s="71">
        <v>1260</v>
      </c>
      <c r="AD242" s="71">
        <f>$AC242*$N242</f>
        <v>2520</v>
      </c>
      <c r="AE242" s="71">
        <v>1260</v>
      </c>
      <c r="AF242" s="71">
        <f>$AE242*$N242</f>
        <v>2520</v>
      </c>
    </row>
    <row r="243" spans="2:32" s="57" customFormat="1" ht="40.5" x14ac:dyDescent="0.2">
      <c r="B243" s="12">
        <f t="shared" si="65"/>
        <v>226</v>
      </c>
      <c r="C243" s="20" t="s">
        <v>22</v>
      </c>
      <c r="D243" s="20">
        <v>7500021</v>
      </c>
      <c r="E243" s="20" t="str">
        <f t="shared" si="64"/>
        <v>7500021</v>
      </c>
      <c r="F243" s="20" t="s">
        <v>11</v>
      </c>
      <c r="G243" s="20" t="s">
        <v>264</v>
      </c>
      <c r="H243" s="20" t="s">
        <v>472</v>
      </c>
      <c r="I243" s="20"/>
      <c r="J243" s="20" t="s">
        <v>265</v>
      </c>
      <c r="K243" s="20" t="s">
        <v>70</v>
      </c>
      <c r="L243" s="20"/>
      <c r="M243" s="20" t="s">
        <v>25</v>
      </c>
      <c r="N243" s="20">
        <v>0</v>
      </c>
      <c r="O243" s="20" t="s">
        <v>15</v>
      </c>
      <c r="P243" s="20"/>
      <c r="Q243" s="20" t="s">
        <v>395</v>
      </c>
      <c r="R243" s="20" t="s">
        <v>346</v>
      </c>
      <c r="S243" s="58" t="s">
        <v>866</v>
      </c>
      <c r="T243" s="59" t="s">
        <v>721</v>
      </c>
      <c r="U243" s="59" t="s">
        <v>720</v>
      </c>
      <c r="V243" s="78" t="s">
        <v>947</v>
      </c>
      <c r="W243" s="59" t="s">
        <v>838</v>
      </c>
      <c r="X243" s="59" t="s">
        <v>895</v>
      </c>
      <c r="Y243" s="20" t="s">
        <v>717</v>
      </c>
      <c r="Z243" s="71">
        <v>0</v>
      </c>
      <c r="AA243" s="71">
        <v>265</v>
      </c>
      <c r="AB243" s="71">
        <v>0</v>
      </c>
      <c r="AC243" s="71">
        <v>265</v>
      </c>
      <c r="AD243" s="71">
        <v>0</v>
      </c>
      <c r="AE243" s="71">
        <v>265</v>
      </c>
      <c r="AF243" s="71">
        <v>0</v>
      </c>
    </row>
    <row r="244" spans="2:32" s="57" customFormat="1" ht="40.5" x14ac:dyDescent="0.2">
      <c r="B244" s="49">
        <f t="shared" si="65"/>
        <v>227</v>
      </c>
      <c r="C244" s="50" t="s">
        <v>22</v>
      </c>
      <c r="D244" s="50">
        <v>7500022</v>
      </c>
      <c r="E244" s="20" t="str">
        <f t="shared" si="64"/>
        <v>7500022</v>
      </c>
      <c r="F244" s="50" t="s">
        <v>11</v>
      </c>
      <c r="G244" s="50" t="s">
        <v>248</v>
      </c>
      <c r="H244" s="50" t="s">
        <v>467</v>
      </c>
      <c r="I244" s="50"/>
      <c r="J244" s="50" t="s">
        <v>249</v>
      </c>
      <c r="K244" s="50" t="s">
        <v>83</v>
      </c>
      <c r="L244" s="50"/>
      <c r="M244" s="50" t="s">
        <v>25</v>
      </c>
      <c r="N244" s="50">
        <v>0</v>
      </c>
      <c r="O244" s="50" t="s">
        <v>15</v>
      </c>
      <c r="P244" s="50"/>
      <c r="Q244" s="50" t="s">
        <v>352</v>
      </c>
      <c r="R244" s="50" t="s">
        <v>352</v>
      </c>
      <c r="S244" s="51" t="s">
        <v>849</v>
      </c>
      <c r="T244" s="52" t="s">
        <v>721</v>
      </c>
      <c r="U244" s="52" t="s">
        <v>718</v>
      </c>
      <c r="V244" s="79" t="s">
        <v>976</v>
      </c>
      <c r="W244" s="52" t="s">
        <v>811</v>
      </c>
      <c r="X244" s="52" t="s">
        <v>854</v>
      </c>
      <c r="Y244" s="50" t="s">
        <v>717</v>
      </c>
      <c r="Z244" s="72">
        <v>0</v>
      </c>
      <c r="AA244" s="72">
        <v>3993</v>
      </c>
      <c r="AB244" s="72">
        <v>0</v>
      </c>
      <c r="AC244" s="72">
        <v>3993</v>
      </c>
      <c r="AD244" s="72">
        <v>0</v>
      </c>
      <c r="AE244" s="72">
        <v>3993</v>
      </c>
      <c r="AF244" s="72">
        <v>0</v>
      </c>
    </row>
    <row r="245" spans="2:32" s="57" customFormat="1" ht="27" x14ac:dyDescent="0.2">
      <c r="B245" s="49">
        <f t="shared" si="65"/>
        <v>228</v>
      </c>
      <c r="C245" s="50" t="s">
        <v>22</v>
      </c>
      <c r="D245" s="50">
        <v>7500024</v>
      </c>
      <c r="E245" s="20" t="str">
        <f t="shared" si="64"/>
        <v>7500024</v>
      </c>
      <c r="F245" s="50" t="s">
        <v>11</v>
      </c>
      <c r="G245" s="50" t="s">
        <v>250</v>
      </c>
      <c r="H245" s="50" t="s">
        <v>468</v>
      </c>
      <c r="I245" s="50"/>
      <c r="J245" s="50" t="s">
        <v>251</v>
      </c>
      <c r="K245" s="50" t="s">
        <v>106</v>
      </c>
      <c r="L245" s="50"/>
      <c r="M245" s="50" t="s">
        <v>25</v>
      </c>
      <c r="N245" s="50">
        <v>0</v>
      </c>
      <c r="O245" s="50" t="s">
        <v>15</v>
      </c>
      <c r="P245" s="50"/>
      <c r="Q245" s="50" t="s">
        <v>352</v>
      </c>
      <c r="R245" s="50" t="s">
        <v>352</v>
      </c>
      <c r="S245" s="51" t="s">
        <v>850</v>
      </c>
      <c r="T245" s="52" t="s">
        <v>721</v>
      </c>
      <c r="U245" s="52" t="s">
        <v>720</v>
      </c>
      <c r="V245" s="79" t="s">
        <v>948</v>
      </c>
      <c r="W245" s="52" t="s">
        <v>811</v>
      </c>
      <c r="X245" s="52" t="s">
        <v>712</v>
      </c>
      <c r="Y245" s="50" t="s">
        <v>717</v>
      </c>
      <c r="Z245" s="72">
        <v>0</v>
      </c>
      <c r="AA245" s="72">
        <v>4677</v>
      </c>
      <c r="AB245" s="72">
        <v>0</v>
      </c>
      <c r="AC245" s="72">
        <v>4677</v>
      </c>
      <c r="AD245" s="72">
        <v>0</v>
      </c>
      <c r="AE245" s="72">
        <v>4677</v>
      </c>
      <c r="AF245" s="72">
        <v>0</v>
      </c>
    </row>
    <row r="246" spans="2:32" s="57" customFormat="1" x14ac:dyDescent="0.2">
      <c r="B246" s="12">
        <f t="shared" si="65"/>
        <v>229</v>
      </c>
      <c r="C246" s="20" t="s">
        <v>22</v>
      </c>
      <c r="D246" s="20" t="s">
        <v>381</v>
      </c>
      <c r="E246" s="20" t="str">
        <f t="shared" si="64"/>
        <v>7641-0001-0406</v>
      </c>
      <c r="F246" s="20" t="s">
        <v>11</v>
      </c>
      <c r="G246" s="20" t="s">
        <v>266</v>
      </c>
      <c r="H246" s="20" t="s">
        <v>473</v>
      </c>
      <c r="I246" s="20"/>
      <c r="J246" s="20" t="s">
        <v>267</v>
      </c>
      <c r="K246" s="20" t="s">
        <v>76</v>
      </c>
      <c r="L246" s="20"/>
      <c r="M246" s="20" t="s">
        <v>25</v>
      </c>
      <c r="N246" s="20">
        <v>0</v>
      </c>
      <c r="O246" s="20" t="s">
        <v>15</v>
      </c>
      <c r="P246" s="20"/>
      <c r="Q246" s="20" t="s">
        <v>395</v>
      </c>
      <c r="R246" s="20" t="s">
        <v>346</v>
      </c>
      <c r="S246" s="58" t="s">
        <v>868</v>
      </c>
      <c r="T246" s="59" t="s">
        <v>836</v>
      </c>
      <c r="U246" s="59" t="s">
        <v>712</v>
      </c>
      <c r="V246" s="78" t="s">
        <v>966</v>
      </c>
      <c r="W246" s="59" t="s">
        <v>838</v>
      </c>
      <c r="X246" s="59" t="s">
        <v>751</v>
      </c>
      <c r="Y246" s="20" t="s">
        <v>717</v>
      </c>
      <c r="Z246" s="71">
        <v>0</v>
      </c>
      <c r="AA246" s="71">
        <v>515</v>
      </c>
      <c r="AB246" s="71">
        <v>0</v>
      </c>
      <c r="AC246" s="71">
        <v>515</v>
      </c>
      <c r="AD246" s="71">
        <v>0</v>
      </c>
      <c r="AE246" s="71">
        <v>515</v>
      </c>
      <c r="AF246" s="71">
        <v>0</v>
      </c>
    </row>
    <row r="247" spans="2:32" s="57" customFormat="1" ht="27" x14ac:dyDescent="0.2">
      <c r="B247" s="49">
        <f t="shared" si="65"/>
        <v>230</v>
      </c>
      <c r="C247" s="50" t="s">
        <v>22</v>
      </c>
      <c r="D247" s="50">
        <v>860005057</v>
      </c>
      <c r="E247" s="20" t="str">
        <f t="shared" si="64"/>
        <v>860005057</v>
      </c>
      <c r="F247" s="50" t="s">
        <v>11</v>
      </c>
      <c r="G247" s="50" t="s">
        <v>159</v>
      </c>
      <c r="H247" s="50" t="s">
        <v>447</v>
      </c>
      <c r="I247" s="50"/>
      <c r="J247" s="50" t="s">
        <v>252</v>
      </c>
      <c r="K247" s="50" t="s">
        <v>77</v>
      </c>
      <c r="L247" s="50"/>
      <c r="M247" s="50" t="s">
        <v>25</v>
      </c>
      <c r="N247" s="50">
        <v>0</v>
      </c>
      <c r="O247" s="50" t="s">
        <v>15</v>
      </c>
      <c r="P247" s="50"/>
      <c r="Q247" s="50" t="s">
        <v>352</v>
      </c>
      <c r="R247" s="50" t="s">
        <v>352</v>
      </c>
      <c r="S247" s="51" t="s">
        <v>851</v>
      </c>
      <c r="T247" s="52" t="s">
        <v>712</v>
      </c>
      <c r="U247" s="52" t="s">
        <v>712</v>
      </c>
      <c r="V247" s="79" t="s">
        <v>739</v>
      </c>
      <c r="W247" s="52" t="s">
        <v>712</v>
      </c>
      <c r="X247" s="52" t="s">
        <v>712</v>
      </c>
      <c r="Y247" s="50" t="s">
        <v>717</v>
      </c>
      <c r="Z247" s="72">
        <v>0</v>
      </c>
      <c r="AA247" s="72">
        <v>0</v>
      </c>
      <c r="AB247" s="72">
        <v>0</v>
      </c>
      <c r="AC247" s="72">
        <v>0</v>
      </c>
      <c r="AD247" s="72">
        <v>0</v>
      </c>
      <c r="AE247" s="72">
        <v>0</v>
      </c>
      <c r="AF247" s="72">
        <v>0</v>
      </c>
    </row>
    <row r="248" spans="2:32" s="57" customFormat="1" x14ac:dyDescent="0.2">
      <c r="B248" s="49">
        <f t="shared" si="65"/>
        <v>231</v>
      </c>
      <c r="C248" s="50" t="s">
        <v>22</v>
      </c>
      <c r="D248" s="50">
        <v>8600780</v>
      </c>
      <c r="E248" s="20" t="str">
        <f t="shared" si="64"/>
        <v>8600780</v>
      </c>
      <c r="F248" s="50" t="s">
        <v>11</v>
      </c>
      <c r="G248" s="50" t="s">
        <v>155</v>
      </c>
      <c r="H248" s="50" t="s">
        <v>446</v>
      </c>
      <c r="I248" s="50"/>
      <c r="J248" s="50" t="s">
        <v>156</v>
      </c>
      <c r="K248" s="50" t="s">
        <v>93</v>
      </c>
      <c r="L248" s="50"/>
      <c r="M248" s="50" t="s">
        <v>25</v>
      </c>
      <c r="N248" s="50">
        <v>0</v>
      </c>
      <c r="O248" s="50" t="s">
        <v>38</v>
      </c>
      <c r="P248" s="50"/>
      <c r="Q248" s="50" t="s">
        <v>352</v>
      </c>
      <c r="R248" s="50" t="s">
        <v>352</v>
      </c>
      <c r="S248" s="51" t="s">
        <v>712</v>
      </c>
      <c r="T248" s="52" t="s">
        <v>712</v>
      </c>
      <c r="U248" s="52" t="s">
        <v>712</v>
      </c>
      <c r="V248" s="79" t="s">
        <v>740</v>
      </c>
      <c r="W248" s="52" t="s">
        <v>712</v>
      </c>
      <c r="X248" s="52" t="s">
        <v>712</v>
      </c>
      <c r="Y248" s="50" t="s">
        <v>717</v>
      </c>
      <c r="Z248" s="72">
        <v>0</v>
      </c>
      <c r="AA248" s="72">
        <v>0</v>
      </c>
      <c r="AB248" s="72">
        <v>0</v>
      </c>
      <c r="AC248" s="72">
        <v>0</v>
      </c>
      <c r="AD248" s="72">
        <v>0</v>
      </c>
      <c r="AE248" s="72">
        <v>0</v>
      </c>
      <c r="AF248" s="72">
        <v>0</v>
      </c>
    </row>
    <row r="249" spans="2:32" s="57" customFormat="1" x14ac:dyDescent="0.2">
      <c r="B249" s="49">
        <f t="shared" si="65"/>
        <v>232</v>
      </c>
      <c r="C249" s="50" t="s">
        <v>22</v>
      </c>
      <c r="D249" s="50">
        <v>8800222</v>
      </c>
      <c r="E249" s="20" t="str">
        <f t="shared" si="64"/>
        <v>8800222</v>
      </c>
      <c r="F249" s="50" t="s">
        <v>11</v>
      </c>
      <c r="G249" s="50" t="s">
        <v>176</v>
      </c>
      <c r="H249" s="50" t="s">
        <v>452</v>
      </c>
      <c r="I249" s="50"/>
      <c r="J249" s="50" t="s">
        <v>177</v>
      </c>
      <c r="K249" s="50" t="s">
        <v>96</v>
      </c>
      <c r="L249" s="50"/>
      <c r="M249" s="50" t="s">
        <v>25</v>
      </c>
      <c r="N249" s="50">
        <v>0</v>
      </c>
      <c r="O249" s="50" t="s">
        <v>38</v>
      </c>
      <c r="P249" s="50"/>
      <c r="Q249" s="50" t="s">
        <v>352</v>
      </c>
      <c r="R249" s="50" t="s">
        <v>352</v>
      </c>
      <c r="S249" s="51" t="s">
        <v>712</v>
      </c>
      <c r="T249" s="52" t="s">
        <v>712</v>
      </c>
      <c r="U249" s="52" t="s">
        <v>712</v>
      </c>
      <c r="V249" s="79" t="s">
        <v>741</v>
      </c>
      <c r="W249" s="52" t="s">
        <v>712</v>
      </c>
      <c r="X249" s="52" t="s">
        <v>712</v>
      </c>
      <c r="Y249" s="50" t="s">
        <v>717</v>
      </c>
      <c r="Z249" s="72">
        <v>0</v>
      </c>
      <c r="AA249" s="72">
        <v>0</v>
      </c>
      <c r="AB249" s="72">
        <v>0</v>
      </c>
      <c r="AC249" s="72">
        <v>0</v>
      </c>
      <c r="AD249" s="72">
        <v>0</v>
      </c>
      <c r="AE249" s="72">
        <v>0</v>
      </c>
      <c r="AF249" s="72">
        <v>0</v>
      </c>
    </row>
    <row r="250" spans="2:32" s="57" customFormat="1" x14ac:dyDescent="0.2">
      <c r="B250" s="12">
        <f t="shared" si="65"/>
        <v>233</v>
      </c>
      <c r="C250" s="20" t="s">
        <v>22</v>
      </c>
      <c r="D250" s="20">
        <v>900000755</v>
      </c>
      <c r="E250" s="20" t="str">
        <f t="shared" si="64"/>
        <v>900000755</v>
      </c>
      <c r="F250" s="20" t="s">
        <v>11</v>
      </c>
      <c r="G250" s="20" t="s">
        <v>253</v>
      </c>
      <c r="H250" s="20" t="s">
        <v>469</v>
      </c>
      <c r="I250" s="20"/>
      <c r="J250" s="20" t="s">
        <v>254</v>
      </c>
      <c r="K250" s="20" t="s">
        <v>72</v>
      </c>
      <c r="L250" s="20"/>
      <c r="M250" s="20" t="s">
        <v>200</v>
      </c>
      <c r="N250" s="20">
        <v>6</v>
      </c>
      <c r="O250" s="20" t="s">
        <v>15</v>
      </c>
      <c r="P250" s="20"/>
      <c r="Q250" s="20" t="s">
        <v>395</v>
      </c>
      <c r="R250" s="20" t="s">
        <v>346</v>
      </c>
      <c r="S250" s="58" t="s">
        <v>774</v>
      </c>
      <c r="T250" s="59" t="s">
        <v>722</v>
      </c>
      <c r="U250" s="59" t="s">
        <v>720</v>
      </c>
      <c r="V250" s="78" t="s">
        <v>742</v>
      </c>
      <c r="W250" s="59" t="s">
        <v>727</v>
      </c>
      <c r="X250" s="59" t="s">
        <v>846</v>
      </c>
      <c r="Y250" s="20" t="s">
        <v>717</v>
      </c>
      <c r="Z250" s="71">
        <v>0</v>
      </c>
      <c r="AA250" s="71">
        <v>580</v>
      </c>
      <c r="AB250" s="71">
        <v>1160</v>
      </c>
      <c r="AC250" s="71">
        <v>580</v>
      </c>
      <c r="AD250" s="71">
        <f t="shared" ref="AD250:AD252" si="70">$AC250*$N250</f>
        <v>3480</v>
      </c>
      <c r="AE250" s="71">
        <v>580</v>
      </c>
      <c r="AF250" s="71">
        <f t="shared" ref="AF250:AF252" si="71">$AE250*$N250</f>
        <v>3480</v>
      </c>
    </row>
    <row r="251" spans="2:32" s="57" customFormat="1" x14ac:dyDescent="0.2">
      <c r="B251" s="12">
        <f t="shared" si="65"/>
        <v>234</v>
      </c>
      <c r="C251" s="20" t="s">
        <v>22</v>
      </c>
      <c r="D251" s="20">
        <v>900000757</v>
      </c>
      <c r="E251" s="20" t="str">
        <f t="shared" si="64"/>
        <v>900000757</v>
      </c>
      <c r="F251" s="20" t="s">
        <v>11</v>
      </c>
      <c r="G251" s="20" t="s">
        <v>268</v>
      </c>
      <c r="H251" s="20" t="s">
        <v>474</v>
      </c>
      <c r="I251" s="20"/>
      <c r="J251" s="20" t="s">
        <v>269</v>
      </c>
      <c r="K251" s="20" t="s">
        <v>133</v>
      </c>
      <c r="L251" s="20"/>
      <c r="M251" s="20" t="s">
        <v>18</v>
      </c>
      <c r="N251" s="20">
        <v>2</v>
      </c>
      <c r="O251" s="20" t="s">
        <v>15</v>
      </c>
      <c r="P251" s="20"/>
      <c r="Q251" s="20" t="s">
        <v>395</v>
      </c>
      <c r="R251" s="20" t="s">
        <v>346</v>
      </c>
      <c r="S251" s="58" t="s">
        <v>896</v>
      </c>
      <c r="T251" s="59" t="s">
        <v>722</v>
      </c>
      <c r="U251" s="59" t="s">
        <v>720</v>
      </c>
      <c r="V251" s="78" t="s">
        <v>897</v>
      </c>
      <c r="W251" s="59" t="s">
        <v>727</v>
      </c>
      <c r="X251" s="59" t="s">
        <v>846</v>
      </c>
      <c r="Y251" s="20" t="s">
        <v>717</v>
      </c>
      <c r="Z251" s="71">
        <v>0</v>
      </c>
      <c r="AA251" s="71">
        <v>580</v>
      </c>
      <c r="AB251" s="71">
        <v>1160</v>
      </c>
      <c r="AC251" s="71">
        <v>580</v>
      </c>
      <c r="AD251" s="71">
        <f t="shared" si="70"/>
        <v>1160</v>
      </c>
      <c r="AE251" s="71">
        <v>580</v>
      </c>
      <c r="AF251" s="71">
        <f t="shared" si="71"/>
        <v>1160</v>
      </c>
    </row>
    <row r="252" spans="2:32" s="57" customFormat="1" x14ac:dyDescent="0.2">
      <c r="B252" s="12">
        <f t="shared" si="65"/>
        <v>235</v>
      </c>
      <c r="C252" s="20" t="s">
        <v>22</v>
      </c>
      <c r="D252" s="20">
        <v>900001259</v>
      </c>
      <c r="E252" s="20" t="str">
        <f t="shared" si="64"/>
        <v>900001259</v>
      </c>
      <c r="F252" s="20" t="s">
        <v>11</v>
      </c>
      <c r="G252" s="20" t="s">
        <v>255</v>
      </c>
      <c r="H252" s="20" t="s">
        <v>470</v>
      </c>
      <c r="I252" s="20"/>
      <c r="J252" s="20" t="s">
        <v>256</v>
      </c>
      <c r="K252" s="20" t="s">
        <v>260</v>
      </c>
      <c r="L252" s="20"/>
      <c r="M252" s="20" t="s">
        <v>55</v>
      </c>
      <c r="N252" s="20">
        <v>4</v>
      </c>
      <c r="O252" s="20" t="s">
        <v>15</v>
      </c>
      <c r="P252" s="20"/>
      <c r="Q252" s="20" t="s">
        <v>395</v>
      </c>
      <c r="R252" s="20" t="s">
        <v>346</v>
      </c>
      <c r="S252" s="58" t="s">
        <v>774</v>
      </c>
      <c r="T252" s="59" t="s">
        <v>722</v>
      </c>
      <c r="U252" s="59" t="s">
        <v>720</v>
      </c>
      <c r="V252" s="78" t="s">
        <v>743</v>
      </c>
      <c r="W252" s="59" t="s">
        <v>727</v>
      </c>
      <c r="X252" s="59" t="s">
        <v>846</v>
      </c>
      <c r="Y252" s="20" t="s">
        <v>717</v>
      </c>
      <c r="Z252" s="71">
        <v>0</v>
      </c>
      <c r="AA252" s="71">
        <v>560</v>
      </c>
      <c r="AB252" s="71">
        <v>5600</v>
      </c>
      <c r="AC252" s="71">
        <v>560</v>
      </c>
      <c r="AD252" s="71">
        <f t="shared" si="70"/>
        <v>2240</v>
      </c>
      <c r="AE252" s="71">
        <v>560</v>
      </c>
      <c r="AF252" s="71">
        <f t="shared" si="71"/>
        <v>2240</v>
      </c>
    </row>
    <row r="253" spans="2:32" s="57" customFormat="1" x14ac:dyDescent="0.2">
      <c r="B253" s="15">
        <f t="shared" si="65"/>
        <v>236</v>
      </c>
      <c r="C253" s="11" t="s">
        <v>16</v>
      </c>
      <c r="D253" s="11">
        <v>190005895</v>
      </c>
      <c r="E253" s="20" t="str">
        <f t="shared" si="64"/>
        <v>190005895</v>
      </c>
      <c r="F253" s="11" t="s">
        <v>11</v>
      </c>
      <c r="G253" s="11" t="s">
        <v>270</v>
      </c>
      <c r="H253" s="11" t="s">
        <v>475</v>
      </c>
      <c r="I253" s="11"/>
      <c r="J253" s="11" t="s">
        <v>271</v>
      </c>
      <c r="K253" s="11" t="s">
        <v>14</v>
      </c>
      <c r="L253" s="11"/>
      <c r="M253" s="11" t="s">
        <v>21</v>
      </c>
      <c r="N253" s="11">
        <v>1</v>
      </c>
      <c r="O253" s="11" t="s">
        <v>15</v>
      </c>
      <c r="P253" s="11"/>
      <c r="Q253" s="11" t="s">
        <v>354</v>
      </c>
      <c r="R253" s="11" t="s">
        <v>354</v>
      </c>
      <c r="S253" s="47"/>
      <c r="T253" s="48"/>
      <c r="U253" s="48"/>
      <c r="V253" s="77"/>
      <c r="W253" s="48"/>
      <c r="X253" s="48"/>
      <c r="Y253" s="11"/>
      <c r="Z253" s="70"/>
      <c r="AA253" s="70"/>
      <c r="AB253" s="70"/>
      <c r="AC253" s="70"/>
      <c r="AD253" s="70"/>
      <c r="AE253" s="70"/>
      <c r="AF253" s="70"/>
    </row>
    <row r="254" spans="2:32" s="57" customFormat="1" x14ac:dyDescent="0.2">
      <c r="B254" s="12">
        <f t="shared" si="65"/>
        <v>237</v>
      </c>
      <c r="C254" s="20" t="s">
        <v>22</v>
      </c>
      <c r="D254" s="20">
        <v>300000839</v>
      </c>
      <c r="E254" s="20" t="str">
        <f t="shared" si="64"/>
        <v>300000839</v>
      </c>
      <c r="F254" s="20" t="s">
        <v>11</v>
      </c>
      <c r="G254" s="20" t="s">
        <v>34</v>
      </c>
      <c r="H254" s="20" t="s">
        <v>418</v>
      </c>
      <c r="I254" s="20"/>
      <c r="J254" s="20" t="s">
        <v>272</v>
      </c>
      <c r="K254" s="20" t="s">
        <v>14</v>
      </c>
      <c r="L254" s="20"/>
      <c r="M254" s="20" t="s">
        <v>33</v>
      </c>
      <c r="N254" s="20">
        <v>0</v>
      </c>
      <c r="O254" s="20" t="s">
        <v>15</v>
      </c>
      <c r="P254" s="20"/>
      <c r="Q254" s="20" t="s">
        <v>395</v>
      </c>
      <c r="R254" s="20" t="s">
        <v>346</v>
      </c>
      <c r="S254" s="58" t="s">
        <v>772</v>
      </c>
      <c r="T254" s="59" t="s">
        <v>738</v>
      </c>
      <c r="U254" s="59" t="s">
        <v>719</v>
      </c>
      <c r="V254" s="78">
        <v>534501</v>
      </c>
      <c r="W254" s="59" t="s">
        <v>809</v>
      </c>
      <c r="X254" s="59" t="s">
        <v>847</v>
      </c>
      <c r="Y254" s="20" t="s">
        <v>717</v>
      </c>
      <c r="Z254" s="71">
        <v>0</v>
      </c>
      <c r="AA254" s="71">
        <v>7000</v>
      </c>
      <c r="AB254" s="71">
        <v>0</v>
      </c>
      <c r="AC254" s="71">
        <v>4000</v>
      </c>
      <c r="AD254" s="71">
        <v>0</v>
      </c>
      <c r="AE254" s="71">
        <v>4000</v>
      </c>
      <c r="AF254" s="71">
        <v>0</v>
      </c>
    </row>
    <row r="255" spans="2:32" s="57" customFormat="1" x14ac:dyDescent="0.2">
      <c r="B255" s="12">
        <f t="shared" si="65"/>
        <v>238</v>
      </c>
      <c r="C255" s="20" t="s">
        <v>22</v>
      </c>
      <c r="D255" s="20">
        <v>300000840</v>
      </c>
      <c r="E255" s="20" t="str">
        <f t="shared" si="64"/>
        <v>300000840</v>
      </c>
      <c r="F255" s="20" t="s">
        <v>11</v>
      </c>
      <c r="G255" s="20" t="s">
        <v>34</v>
      </c>
      <c r="H255" s="20" t="s">
        <v>418</v>
      </c>
      <c r="I255" s="20"/>
      <c r="J255" s="20" t="s">
        <v>273</v>
      </c>
      <c r="K255" s="20" t="s">
        <v>14</v>
      </c>
      <c r="L255" s="20"/>
      <c r="M255" s="20" t="s">
        <v>33</v>
      </c>
      <c r="N255" s="20">
        <v>0</v>
      </c>
      <c r="O255" s="20" t="s">
        <v>15</v>
      </c>
      <c r="P255" s="20"/>
      <c r="Q255" s="20" t="s">
        <v>395</v>
      </c>
      <c r="R255" s="20" t="s">
        <v>346</v>
      </c>
      <c r="S255" s="58" t="s">
        <v>772</v>
      </c>
      <c r="T255" s="59" t="s">
        <v>738</v>
      </c>
      <c r="U255" s="59" t="s">
        <v>719</v>
      </c>
      <c r="V255" s="78">
        <v>543492</v>
      </c>
      <c r="W255" s="59" t="s">
        <v>809</v>
      </c>
      <c r="X255" s="59" t="s">
        <v>847</v>
      </c>
      <c r="Y255" s="20" t="s">
        <v>717</v>
      </c>
      <c r="Z255" s="71">
        <v>0</v>
      </c>
      <c r="AA255" s="71">
        <v>1000</v>
      </c>
      <c r="AB255" s="71">
        <v>0</v>
      </c>
      <c r="AC255" s="71">
        <v>700</v>
      </c>
      <c r="AD255" s="71">
        <v>0</v>
      </c>
      <c r="AE255" s="71">
        <v>700</v>
      </c>
      <c r="AF255" s="71">
        <v>0</v>
      </c>
    </row>
    <row r="256" spans="2:32" s="57" customFormat="1" x14ac:dyDescent="0.2">
      <c r="B256" s="12">
        <f t="shared" si="65"/>
        <v>239</v>
      </c>
      <c r="C256" s="20" t="s">
        <v>22</v>
      </c>
      <c r="D256" s="20">
        <v>530000565</v>
      </c>
      <c r="E256" s="20" t="str">
        <f t="shared" si="64"/>
        <v>530000565</v>
      </c>
      <c r="F256" s="20" t="s">
        <v>11</v>
      </c>
      <c r="G256" s="20" t="s">
        <v>23</v>
      </c>
      <c r="H256" s="20" t="s">
        <v>410</v>
      </c>
      <c r="I256" s="20"/>
      <c r="J256" s="20" t="s">
        <v>274</v>
      </c>
      <c r="K256" s="20" t="s">
        <v>14</v>
      </c>
      <c r="L256" s="20"/>
      <c r="M256" s="20" t="s">
        <v>33</v>
      </c>
      <c r="N256" s="20">
        <v>0</v>
      </c>
      <c r="O256" s="20" t="s">
        <v>15</v>
      </c>
      <c r="P256" s="20"/>
      <c r="Q256" s="20" t="s">
        <v>395</v>
      </c>
      <c r="R256" s="20" t="s">
        <v>346</v>
      </c>
      <c r="S256" s="58" t="s">
        <v>772</v>
      </c>
      <c r="T256" s="59" t="s">
        <v>738</v>
      </c>
      <c r="U256" s="59" t="s">
        <v>719</v>
      </c>
      <c r="V256" s="78">
        <v>8001208</v>
      </c>
      <c r="W256" s="59" t="s">
        <v>809</v>
      </c>
      <c r="X256" s="59" t="s">
        <v>847</v>
      </c>
      <c r="Y256" s="20" t="s">
        <v>717</v>
      </c>
      <c r="Z256" s="71">
        <v>0</v>
      </c>
      <c r="AA256" s="71">
        <v>200000</v>
      </c>
      <c r="AB256" s="71">
        <v>0</v>
      </c>
      <c r="AC256" s="71">
        <v>140000</v>
      </c>
      <c r="AD256" s="71">
        <v>0</v>
      </c>
      <c r="AE256" s="71">
        <v>140000</v>
      </c>
      <c r="AF256" s="71">
        <v>0</v>
      </c>
    </row>
    <row r="257" spans="2:32" s="57" customFormat="1" ht="94.5" x14ac:dyDescent="0.2">
      <c r="B257" s="12">
        <f t="shared" si="65"/>
        <v>240</v>
      </c>
      <c r="C257" s="20" t="s">
        <v>16</v>
      </c>
      <c r="D257" s="20">
        <v>190005896</v>
      </c>
      <c r="E257" s="20" t="str">
        <f t="shared" si="64"/>
        <v>190005896</v>
      </c>
      <c r="F257" s="20" t="s">
        <v>11</v>
      </c>
      <c r="G257" s="20" t="s">
        <v>60</v>
      </c>
      <c r="H257" s="20" t="s">
        <v>422</v>
      </c>
      <c r="I257" s="20"/>
      <c r="J257" s="20" t="s">
        <v>275</v>
      </c>
      <c r="K257" s="20" t="s">
        <v>14</v>
      </c>
      <c r="L257" s="20"/>
      <c r="M257" s="20" t="s">
        <v>74</v>
      </c>
      <c r="N257" s="20">
        <v>3</v>
      </c>
      <c r="O257" s="20" t="s">
        <v>15</v>
      </c>
      <c r="P257" s="20"/>
      <c r="Q257" s="20" t="s">
        <v>395</v>
      </c>
      <c r="R257" s="20" t="s">
        <v>346</v>
      </c>
      <c r="S257" s="58" t="s">
        <v>857</v>
      </c>
      <c r="T257" s="59" t="s">
        <v>738</v>
      </c>
      <c r="U257" s="59" t="s">
        <v>712</v>
      </c>
      <c r="V257" s="78" t="s">
        <v>1014</v>
      </c>
      <c r="W257" s="59" t="s">
        <v>809</v>
      </c>
      <c r="X257" s="59" t="s">
        <v>755</v>
      </c>
      <c r="Y257" s="20" t="s">
        <v>717</v>
      </c>
      <c r="Z257" s="71">
        <v>0</v>
      </c>
      <c r="AA257" s="71">
        <v>333550</v>
      </c>
      <c r="AB257" s="71">
        <v>1000650</v>
      </c>
      <c r="AC257" s="71">
        <v>333550</v>
      </c>
      <c r="AD257" s="71">
        <f t="shared" ref="AD257:AD282" si="72">$AC257*$N257</f>
        <v>1000650</v>
      </c>
      <c r="AE257" s="71">
        <v>333550</v>
      </c>
      <c r="AF257" s="71">
        <f t="shared" ref="AF257:AF282" si="73">$AE257*$N257</f>
        <v>1000650</v>
      </c>
    </row>
    <row r="258" spans="2:32" s="57" customFormat="1" ht="67.5" x14ac:dyDescent="0.2">
      <c r="B258" s="12">
        <f t="shared" si="65"/>
        <v>241</v>
      </c>
      <c r="C258" s="20" t="s">
        <v>16</v>
      </c>
      <c r="D258" s="20">
        <v>190005897</v>
      </c>
      <c r="E258" s="20" t="str">
        <f t="shared" si="64"/>
        <v>190005897</v>
      </c>
      <c r="F258" s="20" t="s">
        <v>11</v>
      </c>
      <c r="G258" s="20" t="s">
        <v>60</v>
      </c>
      <c r="H258" s="20" t="s">
        <v>422</v>
      </c>
      <c r="I258" s="20"/>
      <c r="J258" s="20" t="s">
        <v>276</v>
      </c>
      <c r="K258" s="20" t="s">
        <v>14</v>
      </c>
      <c r="L258" s="20"/>
      <c r="M258" s="20" t="s">
        <v>21</v>
      </c>
      <c r="N258" s="20">
        <v>1</v>
      </c>
      <c r="O258" s="20" t="s">
        <v>15</v>
      </c>
      <c r="P258" s="20"/>
      <c r="Q258" s="20" t="s">
        <v>395</v>
      </c>
      <c r="R258" s="20" t="s">
        <v>346</v>
      </c>
      <c r="S258" s="58" t="s">
        <v>858</v>
      </c>
      <c r="T258" s="59" t="s">
        <v>738</v>
      </c>
      <c r="U258" s="59" t="s">
        <v>712</v>
      </c>
      <c r="V258" s="78" t="s">
        <v>1015</v>
      </c>
      <c r="W258" s="59" t="s">
        <v>809</v>
      </c>
      <c r="X258" s="59" t="s">
        <v>755</v>
      </c>
      <c r="Y258" s="20" t="s">
        <v>717</v>
      </c>
      <c r="Z258" s="71">
        <v>0</v>
      </c>
      <c r="AA258" s="71">
        <v>291560</v>
      </c>
      <c r="AB258" s="71">
        <v>291560</v>
      </c>
      <c r="AC258" s="71">
        <v>291560</v>
      </c>
      <c r="AD258" s="71">
        <f t="shared" si="72"/>
        <v>291560</v>
      </c>
      <c r="AE258" s="71">
        <v>291560</v>
      </c>
      <c r="AF258" s="71">
        <f t="shared" si="73"/>
        <v>291560</v>
      </c>
    </row>
    <row r="259" spans="2:32" s="57" customFormat="1" ht="121.5" x14ac:dyDescent="0.2">
      <c r="B259" s="12">
        <f t="shared" si="65"/>
        <v>242</v>
      </c>
      <c r="C259" s="20" t="s">
        <v>16</v>
      </c>
      <c r="D259" s="20">
        <v>190005898</v>
      </c>
      <c r="E259" s="20" t="str">
        <f t="shared" si="64"/>
        <v>190005898</v>
      </c>
      <c r="F259" s="20" t="s">
        <v>11</v>
      </c>
      <c r="G259" s="20" t="s">
        <v>60</v>
      </c>
      <c r="H259" s="20" t="s">
        <v>476</v>
      </c>
      <c r="I259" s="20"/>
      <c r="J259" s="20" t="s">
        <v>277</v>
      </c>
      <c r="K259" s="20" t="s">
        <v>14</v>
      </c>
      <c r="L259" s="20"/>
      <c r="M259" s="20" t="s">
        <v>21</v>
      </c>
      <c r="N259" s="20">
        <v>1</v>
      </c>
      <c r="O259" s="20" t="s">
        <v>38</v>
      </c>
      <c r="P259" s="20"/>
      <c r="Q259" s="20" t="s">
        <v>395</v>
      </c>
      <c r="R259" s="20" t="s">
        <v>346</v>
      </c>
      <c r="S259" s="58" t="s">
        <v>859</v>
      </c>
      <c r="T259" s="59" t="s">
        <v>738</v>
      </c>
      <c r="U259" s="59" t="s">
        <v>712</v>
      </c>
      <c r="V259" s="78" t="s">
        <v>1016</v>
      </c>
      <c r="W259" s="59" t="s">
        <v>809</v>
      </c>
      <c r="X259" s="59" t="s">
        <v>755</v>
      </c>
      <c r="Y259" s="20" t="s">
        <v>717</v>
      </c>
      <c r="Z259" s="71">
        <v>0</v>
      </c>
      <c r="AA259" s="71">
        <v>1518550</v>
      </c>
      <c r="AB259" s="71">
        <v>1518550</v>
      </c>
      <c r="AC259" s="71">
        <v>1518550</v>
      </c>
      <c r="AD259" s="71">
        <f t="shared" si="72"/>
        <v>1518550</v>
      </c>
      <c r="AE259" s="71">
        <v>1518550</v>
      </c>
      <c r="AF259" s="71">
        <f t="shared" si="73"/>
        <v>1518550</v>
      </c>
    </row>
    <row r="260" spans="2:32" s="57" customFormat="1" ht="81" x14ac:dyDescent="0.2">
      <c r="B260" s="12">
        <f t="shared" si="65"/>
        <v>243</v>
      </c>
      <c r="C260" s="20" t="s">
        <v>16</v>
      </c>
      <c r="D260" s="20">
        <v>190005899</v>
      </c>
      <c r="E260" s="20" t="str">
        <f t="shared" si="64"/>
        <v>190005899</v>
      </c>
      <c r="F260" s="20" t="s">
        <v>11</v>
      </c>
      <c r="G260" s="20" t="s">
        <v>60</v>
      </c>
      <c r="H260" s="20" t="s">
        <v>422</v>
      </c>
      <c r="I260" s="20"/>
      <c r="J260" s="20" t="s">
        <v>278</v>
      </c>
      <c r="K260" s="20" t="s">
        <v>14</v>
      </c>
      <c r="L260" s="20"/>
      <c r="M260" s="20" t="s">
        <v>21</v>
      </c>
      <c r="N260" s="20">
        <v>1</v>
      </c>
      <c r="O260" s="20" t="s">
        <v>15</v>
      </c>
      <c r="P260" s="20"/>
      <c r="Q260" s="20" t="s">
        <v>395</v>
      </c>
      <c r="R260" s="20" t="s">
        <v>346</v>
      </c>
      <c r="S260" s="58" t="s">
        <v>860</v>
      </c>
      <c r="T260" s="59" t="s">
        <v>738</v>
      </c>
      <c r="U260" s="59" t="s">
        <v>712</v>
      </c>
      <c r="V260" s="78" t="s">
        <v>1017</v>
      </c>
      <c r="W260" s="59" t="s">
        <v>809</v>
      </c>
      <c r="X260" s="59" t="s">
        <v>755</v>
      </c>
      <c r="Y260" s="20" t="s">
        <v>717</v>
      </c>
      <c r="Z260" s="71">
        <v>0</v>
      </c>
      <c r="AA260" s="71">
        <v>460480</v>
      </c>
      <c r="AB260" s="71">
        <v>460480</v>
      </c>
      <c r="AC260" s="71">
        <v>460480</v>
      </c>
      <c r="AD260" s="71">
        <f t="shared" si="72"/>
        <v>460480</v>
      </c>
      <c r="AE260" s="71">
        <v>460480</v>
      </c>
      <c r="AF260" s="71">
        <f t="shared" si="73"/>
        <v>460480</v>
      </c>
    </row>
    <row r="261" spans="2:32" s="57" customFormat="1" x14ac:dyDescent="0.2">
      <c r="B261" s="12">
        <f t="shared" si="65"/>
        <v>244</v>
      </c>
      <c r="C261" s="20" t="s">
        <v>16</v>
      </c>
      <c r="D261" s="20">
        <v>250000617</v>
      </c>
      <c r="E261" s="20" t="str">
        <f t="shared" si="64"/>
        <v>250000617</v>
      </c>
      <c r="F261" s="20" t="s">
        <v>11</v>
      </c>
      <c r="G261" s="20" t="s">
        <v>23</v>
      </c>
      <c r="H261" s="20" t="s">
        <v>410</v>
      </c>
      <c r="I261" s="20"/>
      <c r="J261" s="20" t="s">
        <v>279</v>
      </c>
      <c r="K261" s="20" t="s">
        <v>14</v>
      </c>
      <c r="L261" s="20"/>
      <c r="M261" s="20" t="s">
        <v>21</v>
      </c>
      <c r="N261" s="20">
        <v>1</v>
      </c>
      <c r="O261" s="20" t="s">
        <v>15</v>
      </c>
      <c r="P261" s="20"/>
      <c r="Q261" s="20" t="s">
        <v>395</v>
      </c>
      <c r="R261" s="20" t="s">
        <v>346</v>
      </c>
      <c r="S261" s="58" t="s">
        <v>772</v>
      </c>
      <c r="T261" s="59" t="s">
        <v>738</v>
      </c>
      <c r="U261" s="59" t="s">
        <v>719</v>
      </c>
      <c r="V261" s="78" t="s">
        <v>872</v>
      </c>
      <c r="W261" s="59" t="s">
        <v>809</v>
      </c>
      <c r="X261" s="59" t="s">
        <v>847</v>
      </c>
      <c r="Y261" s="20" t="s">
        <v>717</v>
      </c>
      <c r="Z261" s="71">
        <v>0</v>
      </c>
      <c r="AA261" s="71">
        <v>7000</v>
      </c>
      <c r="AB261" s="71">
        <v>7000</v>
      </c>
      <c r="AC261" s="71">
        <v>7000</v>
      </c>
      <c r="AD261" s="71">
        <f t="shared" si="72"/>
        <v>7000</v>
      </c>
      <c r="AE261" s="71">
        <v>7000</v>
      </c>
      <c r="AF261" s="71">
        <f t="shared" si="73"/>
        <v>7000</v>
      </c>
    </row>
    <row r="262" spans="2:32" s="57" customFormat="1" x14ac:dyDescent="0.2">
      <c r="B262" s="12">
        <f t="shared" si="65"/>
        <v>245</v>
      </c>
      <c r="C262" s="20" t="s">
        <v>16</v>
      </c>
      <c r="D262" s="20">
        <v>320000344</v>
      </c>
      <c r="E262" s="20" t="str">
        <f t="shared" si="64"/>
        <v>320000344</v>
      </c>
      <c r="F262" s="20" t="s">
        <v>11</v>
      </c>
      <c r="G262" s="20" t="s">
        <v>23</v>
      </c>
      <c r="H262" s="20" t="s">
        <v>410</v>
      </c>
      <c r="I262" s="20"/>
      <c r="J262" s="20" t="s">
        <v>280</v>
      </c>
      <c r="K262" s="20" t="s">
        <v>14</v>
      </c>
      <c r="L262" s="20"/>
      <c r="M262" s="20" t="s">
        <v>200</v>
      </c>
      <c r="N262" s="20">
        <v>6</v>
      </c>
      <c r="O262" s="20" t="s">
        <v>15</v>
      </c>
      <c r="P262" s="20"/>
      <c r="Q262" s="20" t="s">
        <v>395</v>
      </c>
      <c r="R262" s="20" t="s">
        <v>346</v>
      </c>
      <c r="S262" s="58" t="s">
        <v>772</v>
      </c>
      <c r="T262" s="59" t="s">
        <v>738</v>
      </c>
      <c r="U262" s="59" t="s">
        <v>718</v>
      </c>
      <c r="V262" s="78" t="s">
        <v>873</v>
      </c>
      <c r="W262" s="59" t="s">
        <v>809</v>
      </c>
      <c r="X262" s="59" t="s">
        <v>847</v>
      </c>
      <c r="Y262" s="20" t="s">
        <v>717</v>
      </c>
      <c r="Z262" s="71">
        <v>0</v>
      </c>
      <c r="AA262" s="71">
        <v>80000</v>
      </c>
      <c r="AB262" s="71">
        <v>480000</v>
      </c>
      <c r="AC262" s="71">
        <v>79000</v>
      </c>
      <c r="AD262" s="71">
        <f t="shared" si="72"/>
        <v>474000</v>
      </c>
      <c r="AE262" s="71">
        <v>79000</v>
      </c>
      <c r="AF262" s="71">
        <f t="shared" si="73"/>
        <v>474000</v>
      </c>
    </row>
    <row r="263" spans="2:32" s="57" customFormat="1" ht="27" x14ac:dyDescent="0.2">
      <c r="B263" s="12">
        <f t="shared" si="65"/>
        <v>246</v>
      </c>
      <c r="C263" s="20" t="s">
        <v>16</v>
      </c>
      <c r="D263" s="20">
        <v>3200671</v>
      </c>
      <c r="E263" s="20" t="str">
        <f t="shared" si="64"/>
        <v>3200671</v>
      </c>
      <c r="F263" s="20" t="s">
        <v>11</v>
      </c>
      <c r="G263" s="20" t="s">
        <v>281</v>
      </c>
      <c r="H263" s="20" t="s">
        <v>477</v>
      </c>
      <c r="I263" s="20"/>
      <c r="J263" s="20" t="s">
        <v>282</v>
      </c>
      <c r="K263" s="20" t="s">
        <v>14</v>
      </c>
      <c r="L263" s="20"/>
      <c r="M263" s="20" t="s">
        <v>21</v>
      </c>
      <c r="N263" s="20">
        <v>1</v>
      </c>
      <c r="O263" s="20" t="s">
        <v>15</v>
      </c>
      <c r="P263" s="20"/>
      <c r="Q263" s="20" t="s">
        <v>395</v>
      </c>
      <c r="R263" s="20" t="s">
        <v>346</v>
      </c>
      <c r="S263" s="58" t="s">
        <v>861</v>
      </c>
      <c r="T263" s="59" t="s">
        <v>738</v>
      </c>
      <c r="U263" s="59" t="s">
        <v>718</v>
      </c>
      <c r="V263" s="78" t="s">
        <v>1018</v>
      </c>
      <c r="W263" s="59" t="s">
        <v>890</v>
      </c>
      <c r="X263" s="59" t="s">
        <v>893</v>
      </c>
      <c r="Y263" s="20" t="s">
        <v>717</v>
      </c>
      <c r="Z263" s="71">
        <v>0</v>
      </c>
      <c r="AA263" s="71">
        <v>113750</v>
      </c>
      <c r="AB263" s="71">
        <v>113750</v>
      </c>
      <c r="AC263" s="71">
        <v>109370</v>
      </c>
      <c r="AD263" s="71">
        <f t="shared" si="72"/>
        <v>109370</v>
      </c>
      <c r="AE263" s="71">
        <v>109370</v>
      </c>
      <c r="AF263" s="71">
        <f t="shared" si="73"/>
        <v>109370</v>
      </c>
    </row>
    <row r="264" spans="2:32" s="57" customFormat="1" x14ac:dyDescent="0.2">
      <c r="B264" s="12">
        <f t="shared" si="65"/>
        <v>247</v>
      </c>
      <c r="C264" s="20" t="s">
        <v>16</v>
      </c>
      <c r="D264" s="20">
        <v>3200707</v>
      </c>
      <c r="E264" s="20" t="str">
        <f t="shared" si="64"/>
        <v>3200707</v>
      </c>
      <c r="F264" s="20" t="s">
        <v>11</v>
      </c>
      <c r="G264" s="20" t="s">
        <v>60</v>
      </c>
      <c r="H264" s="20" t="s">
        <v>422</v>
      </c>
      <c r="I264" s="20"/>
      <c r="J264" s="20" t="s">
        <v>283</v>
      </c>
      <c r="K264" s="20" t="s">
        <v>14</v>
      </c>
      <c r="L264" s="20"/>
      <c r="M264" s="20" t="s">
        <v>21</v>
      </c>
      <c r="N264" s="20">
        <v>1</v>
      </c>
      <c r="O264" s="20" t="s">
        <v>15</v>
      </c>
      <c r="P264" s="20"/>
      <c r="Q264" s="20" t="s">
        <v>395</v>
      </c>
      <c r="R264" s="20" t="s">
        <v>346</v>
      </c>
      <c r="S264" s="58" t="s">
        <v>856</v>
      </c>
      <c r="T264" s="59" t="s">
        <v>738</v>
      </c>
      <c r="U264" s="59" t="s">
        <v>718</v>
      </c>
      <c r="V264" s="78" t="s">
        <v>874</v>
      </c>
      <c r="W264" s="59" t="s">
        <v>853</v>
      </c>
      <c r="X264" s="59" t="s">
        <v>855</v>
      </c>
      <c r="Y264" s="20" t="s">
        <v>717</v>
      </c>
      <c r="Z264" s="71">
        <v>0</v>
      </c>
      <c r="AA264" s="71">
        <v>114300</v>
      </c>
      <c r="AB264" s="71">
        <v>114300</v>
      </c>
      <c r="AC264" s="71">
        <v>114300</v>
      </c>
      <c r="AD264" s="71">
        <f t="shared" si="72"/>
        <v>114300</v>
      </c>
      <c r="AE264" s="71">
        <v>114300</v>
      </c>
      <c r="AF264" s="71">
        <f t="shared" si="73"/>
        <v>114300</v>
      </c>
    </row>
    <row r="265" spans="2:32" s="57" customFormat="1" ht="27" x14ac:dyDescent="0.2">
      <c r="B265" s="12">
        <f t="shared" si="65"/>
        <v>248</v>
      </c>
      <c r="C265" s="20" t="s">
        <v>16</v>
      </c>
      <c r="D265" s="20">
        <v>3400060</v>
      </c>
      <c r="E265" s="20" t="str">
        <f t="shared" si="64"/>
        <v>3400060</v>
      </c>
      <c r="F265" s="20" t="s">
        <v>11</v>
      </c>
      <c r="G265" s="20" t="s">
        <v>115</v>
      </c>
      <c r="H265" s="20" t="s">
        <v>478</v>
      </c>
      <c r="I265" s="20"/>
      <c r="J265" s="20" t="s">
        <v>284</v>
      </c>
      <c r="K265" s="20" t="s">
        <v>14</v>
      </c>
      <c r="L265" s="20"/>
      <c r="M265" s="20" t="s">
        <v>21</v>
      </c>
      <c r="N265" s="20">
        <v>1</v>
      </c>
      <c r="O265" s="20" t="s">
        <v>15</v>
      </c>
      <c r="P265" s="20"/>
      <c r="Q265" s="20" t="s">
        <v>395</v>
      </c>
      <c r="R265" s="20" t="s">
        <v>346</v>
      </c>
      <c r="S265" s="58" t="s">
        <v>861</v>
      </c>
      <c r="T265" s="59" t="s">
        <v>738</v>
      </c>
      <c r="U265" s="59" t="s">
        <v>718</v>
      </c>
      <c r="V265" s="78" t="s">
        <v>1019</v>
      </c>
      <c r="W265" s="59" t="s">
        <v>890</v>
      </c>
      <c r="X265" s="59" t="s">
        <v>893</v>
      </c>
      <c r="Y265" s="20" t="s">
        <v>717</v>
      </c>
      <c r="Z265" s="71">
        <v>0</v>
      </c>
      <c r="AA265" s="71">
        <v>2990</v>
      </c>
      <c r="AB265" s="71">
        <v>2990</v>
      </c>
      <c r="AC265" s="71">
        <v>2880</v>
      </c>
      <c r="AD265" s="71">
        <f t="shared" si="72"/>
        <v>2880</v>
      </c>
      <c r="AE265" s="71">
        <v>2880</v>
      </c>
      <c r="AF265" s="71">
        <f t="shared" si="73"/>
        <v>2880</v>
      </c>
    </row>
    <row r="266" spans="2:32" s="57" customFormat="1" ht="54" x14ac:dyDescent="0.2">
      <c r="B266" s="12">
        <f t="shared" si="65"/>
        <v>249</v>
      </c>
      <c r="C266" s="20" t="s">
        <v>16</v>
      </c>
      <c r="D266" s="20">
        <v>3400167</v>
      </c>
      <c r="E266" s="20" t="str">
        <f t="shared" si="64"/>
        <v>3400167</v>
      </c>
      <c r="F266" s="20" t="s">
        <v>11</v>
      </c>
      <c r="G266" s="20" t="s">
        <v>91</v>
      </c>
      <c r="H266" s="20" t="s">
        <v>427</v>
      </c>
      <c r="I266" s="20"/>
      <c r="J266" s="20" t="s">
        <v>92</v>
      </c>
      <c r="K266" s="20" t="s">
        <v>14</v>
      </c>
      <c r="L266" s="20"/>
      <c r="M266" s="20" t="s">
        <v>21</v>
      </c>
      <c r="N266" s="20">
        <v>1</v>
      </c>
      <c r="O266" s="20" t="s">
        <v>15</v>
      </c>
      <c r="P266" s="20"/>
      <c r="Q266" s="20" t="s">
        <v>395</v>
      </c>
      <c r="R266" s="20" t="s">
        <v>346</v>
      </c>
      <c r="S266" s="58" t="s">
        <v>1038</v>
      </c>
      <c r="T266" s="59" t="s">
        <v>738</v>
      </c>
      <c r="U266" s="59" t="s">
        <v>712</v>
      </c>
      <c r="V266" s="78" t="s">
        <v>1044</v>
      </c>
      <c r="W266" s="59" t="s">
        <v>737</v>
      </c>
      <c r="X266" s="58" t="s">
        <v>1040</v>
      </c>
      <c r="Y266" s="20" t="s">
        <v>717</v>
      </c>
      <c r="Z266" s="71">
        <v>0</v>
      </c>
      <c r="AA266" s="71">
        <v>6783</v>
      </c>
      <c r="AB266" s="71">
        <v>13566</v>
      </c>
      <c r="AC266" s="71">
        <v>6783</v>
      </c>
      <c r="AD266" s="71">
        <f t="shared" si="72"/>
        <v>6783</v>
      </c>
      <c r="AE266" s="71">
        <v>6783</v>
      </c>
      <c r="AF266" s="71">
        <f t="shared" si="73"/>
        <v>6783</v>
      </c>
    </row>
    <row r="267" spans="2:32" s="57" customFormat="1" ht="27" x14ac:dyDescent="0.2">
      <c r="B267" s="12">
        <f t="shared" si="65"/>
        <v>250</v>
      </c>
      <c r="C267" s="20" t="s">
        <v>16</v>
      </c>
      <c r="D267" s="20">
        <v>3400754</v>
      </c>
      <c r="E267" s="20" t="str">
        <f t="shared" si="64"/>
        <v>3400754</v>
      </c>
      <c r="F267" s="20" t="s">
        <v>11</v>
      </c>
      <c r="G267" s="20" t="s">
        <v>285</v>
      </c>
      <c r="H267" s="20" t="s">
        <v>479</v>
      </c>
      <c r="I267" s="20"/>
      <c r="J267" s="20" t="s">
        <v>286</v>
      </c>
      <c r="K267" s="20" t="s">
        <v>14</v>
      </c>
      <c r="L267" s="20"/>
      <c r="M267" s="20" t="s">
        <v>190</v>
      </c>
      <c r="N267" s="20">
        <v>5</v>
      </c>
      <c r="O267" s="20" t="s">
        <v>15</v>
      </c>
      <c r="P267" s="20"/>
      <c r="Q267" s="20" t="s">
        <v>395</v>
      </c>
      <c r="R267" s="20" t="s">
        <v>346</v>
      </c>
      <c r="S267" s="58" t="s">
        <v>861</v>
      </c>
      <c r="T267" s="59" t="s">
        <v>738</v>
      </c>
      <c r="U267" s="59" t="s">
        <v>720</v>
      </c>
      <c r="V267" s="78" t="s">
        <v>1023</v>
      </c>
      <c r="W267" s="59" t="s">
        <v>890</v>
      </c>
      <c r="X267" s="59" t="s">
        <v>893</v>
      </c>
      <c r="Y267" s="20" t="s">
        <v>717</v>
      </c>
      <c r="Z267" s="71">
        <v>0</v>
      </c>
      <c r="AA267" s="71">
        <v>14960</v>
      </c>
      <c r="AB267" s="71">
        <v>74800</v>
      </c>
      <c r="AC267" s="71">
        <v>14390</v>
      </c>
      <c r="AD267" s="71">
        <f t="shared" si="72"/>
        <v>71950</v>
      </c>
      <c r="AE267" s="71">
        <v>14390</v>
      </c>
      <c r="AF267" s="71">
        <f t="shared" si="73"/>
        <v>71950</v>
      </c>
    </row>
    <row r="268" spans="2:32" s="57" customFormat="1" x14ac:dyDescent="0.2">
      <c r="B268" s="12">
        <f t="shared" si="65"/>
        <v>251</v>
      </c>
      <c r="C268" s="20" t="s">
        <v>16</v>
      </c>
      <c r="D268" s="20">
        <v>3400757</v>
      </c>
      <c r="E268" s="20" t="str">
        <f t="shared" si="64"/>
        <v>3400757</v>
      </c>
      <c r="F268" s="20" t="s">
        <v>11</v>
      </c>
      <c r="G268" s="20" t="s">
        <v>23</v>
      </c>
      <c r="H268" s="20" t="s">
        <v>410</v>
      </c>
      <c r="I268" s="20"/>
      <c r="J268" s="20" t="s">
        <v>287</v>
      </c>
      <c r="K268" s="20" t="s">
        <v>14</v>
      </c>
      <c r="L268" s="20"/>
      <c r="M268" s="20" t="s">
        <v>21</v>
      </c>
      <c r="N268" s="20">
        <v>1</v>
      </c>
      <c r="O268" s="20" t="s">
        <v>15</v>
      </c>
      <c r="P268" s="20"/>
      <c r="Q268" s="20" t="s">
        <v>395</v>
      </c>
      <c r="R268" s="20" t="s">
        <v>346</v>
      </c>
      <c r="S268" s="58" t="s">
        <v>728</v>
      </c>
      <c r="T268" s="59" t="s">
        <v>738</v>
      </c>
      <c r="U268" s="59" t="s">
        <v>719</v>
      </c>
      <c r="V268" s="78" t="s">
        <v>875</v>
      </c>
      <c r="W268" s="59" t="s">
        <v>735</v>
      </c>
      <c r="X268" s="59" t="s">
        <v>842</v>
      </c>
      <c r="Y268" s="20" t="s">
        <v>717</v>
      </c>
      <c r="Z268" s="71">
        <v>0</v>
      </c>
      <c r="AA268" s="71">
        <v>11800</v>
      </c>
      <c r="AB268" s="71">
        <v>11800</v>
      </c>
      <c r="AC268" s="71">
        <v>11800</v>
      </c>
      <c r="AD268" s="71">
        <f t="shared" si="72"/>
        <v>11800</v>
      </c>
      <c r="AE268" s="71">
        <v>11800</v>
      </c>
      <c r="AF268" s="71">
        <f t="shared" si="73"/>
        <v>11800</v>
      </c>
    </row>
    <row r="269" spans="2:32" s="57" customFormat="1" ht="27" x14ac:dyDescent="0.2">
      <c r="B269" s="12">
        <f t="shared" si="65"/>
        <v>252</v>
      </c>
      <c r="C269" s="20" t="s">
        <v>16</v>
      </c>
      <c r="D269" s="20">
        <v>3400883</v>
      </c>
      <c r="E269" s="20" t="str">
        <f t="shared" si="64"/>
        <v>3400883</v>
      </c>
      <c r="F269" s="20" t="s">
        <v>11</v>
      </c>
      <c r="G269" s="20" t="s">
        <v>34</v>
      </c>
      <c r="H269" s="20" t="s">
        <v>418</v>
      </c>
      <c r="I269" s="20"/>
      <c r="J269" s="20" t="s">
        <v>288</v>
      </c>
      <c r="K269" s="20" t="s">
        <v>14</v>
      </c>
      <c r="L269" s="20"/>
      <c r="M269" s="20" t="s">
        <v>21</v>
      </c>
      <c r="N269" s="20">
        <v>1</v>
      </c>
      <c r="O269" s="20" t="s">
        <v>15</v>
      </c>
      <c r="P269" s="20"/>
      <c r="Q269" s="20" t="s">
        <v>395</v>
      </c>
      <c r="R269" s="20" t="s">
        <v>346</v>
      </c>
      <c r="S269" s="58" t="s">
        <v>861</v>
      </c>
      <c r="T269" s="59" t="s">
        <v>738</v>
      </c>
      <c r="U269" s="59" t="s">
        <v>712</v>
      </c>
      <c r="V269" s="78" t="s">
        <v>1020</v>
      </c>
      <c r="W269" s="59" t="s">
        <v>890</v>
      </c>
      <c r="X269" s="59" t="s">
        <v>893</v>
      </c>
      <c r="Y269" s="20" t="s">
        <v>717</v>
      </c>
      <c r="Z269" s="71">
        <v>0</v>
      </c>
      <c r="AA269" s="71">
        <v>10240</v>
      </c>
      <c r="AB269" s="71">
        <v>10240</v>
      </c>
      <c r="AC269" s="71">
        <v>9850</v>
      </c>
      <c r="AD269" s="71">
        <f t="shared" si="72"/>
        <v>9850</v>
      </c>
      <c r="AE269" s="71">
        <v>9850</v>
      </c>
      <c r="AF269" s="71">
        <f t="shared" si="73"/>
        <v>9850</v>
      </c>
    </row>
    <row r="270" spans="2:32" s="57" customFormat="1" ht="27" x14ac:dyDescent="0.2">
      <c r="B270" s="12">
        <f t="shared" si="65"/>
        <v>253</v>
      </c>
      <c r="C270" s="20" t="s">
        <v>16</v>
      </c>
      <c r="D270" s="20">
        <v>3401043</v>
      </c>
      <c r="E270" s="20" t="str">
        <f t="shared" ref="E270:E314" si="74">TRIM(D270)</f>
        <v>3401043</v>
      </c>
      <c r="F270" s="20" t="s">
        <v>11</v>
      </c>
      <c r="G270" s="20" t="s">
        <v>65</v>
      </c>
      <c r="H270" s="20" t="s">
        <v>424</v>
      </c>
      <c r="I270" s="20"/>
      <c r="J270" s="20" t="s">
        <v>289</v>
      </c>
      <c r="K270" s="20" t="s">
        <v>14</v>
      </c>
      <c r="L270" s="20"/>
      <c r="M270" s="20" t="s">
        <v>211</v>
      </c>
      <c r="N270" s="20">
        <v>12</v>
      </c>
      <c r="O270" s="20" t="s">
        <v>15</v>
      </c>
      <c r="P270" s="20"/>
      <c r="Q270" s="20" t="s">
        <v>395</v>
      </c>
      <c r="R270" s="20" t="s">
        <v>346</v>
      </c>
      <c r="S270" s="58" t="s">
        <v>861</v>
      </c>
      <c r="T270" s="59" t="s">
        <v>738</v>
      </c>
      <c r="U270" s="59" t="s">
        <v>712</v>
      </c>
      <c r="V270" s="78" t="s">
        <v>1021</v>
      </c>
      <c r="W270" s="59" t="s">
        <v>890</v>
      </c>
      <c r="X270" s="59" t="s">
        <v>893</v>
      </c>
      <c r="Y270" s="20" t="s">
        <v>717</v>
      </c>
      <c r="Z270" s="71">
        <v>4437</v>
      </c>
      <c r="AA270" s="71">
        <v>6720</v>
      </c>
      <c r="AB270" s="71">
        <v>80640</v>
      </c>
      <c r="AC270" s="71">
        <v>6460</v>
      </c>
      <c r="AD270" s="71">
        <f t="shared" si="72"/>
        <v>77520</v>
      </c>
      <c r="AE270" s="71">
        <v>6460</v>
      </c>
      <c r="AF270" s="71">
        <f t="shared" si="73"/>
        <v>77520</v>
      </c>
    </row>
    <row r="271" spans="2:32" s="57" customFormat="1" ht="27" x14ac:dyDescent="0.2">
      <c r="B271" s="12">
        <f t="shared" si="65"/>
        <v>254</v>
      </c>
      <c r="C271" s="20" t="s">
        <v>16</v>
      </c>
      <c r="D271" s="20">
        <v>3401883</v>
      </c>
      <c r="E271" s="20" t="str">
        <f t="shared" si="74"/>
        <v>3401883</v>
      </c>
      <c r="F271" s="20" t="s">
        <v>11</v>
      </c>
      <c r="G271" s="20" t="s">
        <v>23</v>
      </c>
      <c r="H271" s="20" t="s">
        <v>410</v>
      </c>
      <c r="I271" s="20"/>
      <c r="J271" s="20" t="s">
        <v>290</v>
      </c>
      <c r="K271" s="20" t="s">
        <v>14</v>
      </c>
      <c r="L271" s="20"/>
      <c r="M271" s="20" t="s">
        <v>21</v>
      </c>
      <c r="N271" s="20">
        <v>1</v>
      </c>
      <c r="O271" s="20" t="s">
        <v>15</v>
      </c>
      <c r="P271" s="20"/>
      <c r="Q271" s="20" t="s">
        <v>395</v>
      </c>
      <c r="R271" s="20" t="s">
        <v>346</v>
      </c>
      <c r="S271" s="58" t="s">
        <v>861</v>
      </c>
      <c r="T271" s="59" t="s">
        <v>738</v>
      </c>
      <c r="U271" s="59" t="s">
        <v>712</v>
      </c>
      <c r="V271" s="78" t="s">
        <v>1022</v>
      </c>
      <c r="W271" s="59" t="s">
        <v>890</v>
      </c>
      <c r="X271" s="59" t="s">
        <v>893</v>
      </c>
      <c r="Y271" s="20" t="s">
        <v>717</v>
      </c>
      <c r="Z271" s="71">
        <v>0</v>
      </c>
      <c r="AA271" s="71">
        <v>8610</v>
      </c>
      <c r="AB271" s="71">
        <v>8610</v>
      </c>
      <c r="AC271" s="71">
        <v>8280</v>
      </c>
      <c r="AD271" s="71">
        <f t="shared" si="72"/>
        <v>8280</v>
      </c>
      <c r="AE271" s="71">
        <v>8280</v>
      </c>
      <c r="AF271" s="71">
        <f t="shared" si="73"/>
        <v>8280</v>
      </c>
    </row>
    <row r="272" spans="2:32" s="57" customFormat="1" ht="27" x14ac:dyDescent="0.2">
      <c r="B272" s="12">
        <f t="shared" si="65"/>
        <v>255</v>
      </c>
      <c r="C272" s="20" t="s">
        <v>16</v>
      </c>
      <c r="D272" s="20">
        <v>3402836</v>
      </c>
      <c r="E272" s="20" t="str">
        <f t="shared" si="74"/>
        <v>3402836</v>
      </c>
      <c r="F272" s="20" t="s">
        <v>11</v>
      </c>
      <c r="G272" s="20" t="s">
        <v>60</v>
      </c>
      <c r="H272" s="20" t="s">
        <v>422</v>
      </c>
      <c r="I272" s="20"/>
      <c r="J272" s="20" t="s">
        <v>263</v>
      </c>
      <c r="K272" s="20" t="s">
        <v>14</v>
      </c>
      <c r="L272" s="20"/>
      <c r="M272" s="20" t="s">
        <v>21</v>
      </c>
      <c r="N272" s="20">
        <v>1</v>
      </c>
      <c r="O272" s="20" t="s">
        <v>15</v>
      </c>
      <c r="P272" s="20"/>
      <c r="Q272" s="20" t="s">
        <v>395</v>
      </c>
      <c r="R272" s="20" t="s">
        <v>346</v>
      </c>
      <c r="S272" s="58" t="s">
        <v>862</v>
      </c>
      <c r="T272" s="59" t="s">
        <v>738</v>
      </c>
      <c r="U272" s="59" t="s">
        <v>718</v>
      </c>
      <c r="V272" s="78" t="s">
        <v>876</v>
      </c>
      <c r="W272" s="59" t="s">
        <v>853</v>
      </c>
      <c r="X272" s="59" t="s">
        <v>855</v>
      </c>
      <c r="Y272" s="20" t="s">
        <v>717</v>
      </c>
      <c r="Z272" s="71">
        <v>0</v>
      </c>
      <c r="AA272" s="71">
        <v>1260</v>
      </c>
      <c r="AB272" s="71">
        <v>2520</v>
      </c>
      <c r="AC272" s="71">
        <v>1260</v>
      </c>
      <c r="AD272" s="71">
        <f t="shared" si="72"/>
        <v>1260</v>
      </c>
      <c r="AE272" s="71">
        <v>1260</v>
      </c>
      <c r="AF272" s="71">
        <f t="shared" si="73"/>
        <v>1260</v>
      </c>
    </row>
    <row r="273" spans="2:32" s="57" customFormat="1" x14ac:dyDescent="0.2">
      <c r="B273" s="12">
        <f t="shared" si="65"/>
        <v>256</v>
      </c>
      <c r="C273" s="20" t="s">
        <v>16</v>
      </c>
      <c r="D273" s="20">
        <v>3402853</v>
      </c>
      <c r="E273" s="20" t="str">
        <f t="shared" si="74"/>
        <v>3402853</v>
      </c>
      <c r="F273" s="20" t="s">
        <v>11</v>
      </c>
      <c r="G273" s="20" t="s">
        <v>226</v>
      </c>
      <c r="H273" s="20" t="s">
        <v>461</v>
      </c>
      <c r="I273" s="20"/>
      <c r="J273" s="20" t="s">
        <v>291</v>
      </c>
      <c r="K273" s="20" t="s">
        <v>14</v>
      </c>
      <c r="L273" s="20"/>
      <c r="M273" s="20" t="s">
        <v>21</v>
      </c>
      <c r="N273" s="20">
        <v>1</v>
      </c>
      <c r="O273" s="20" t="s">
        <v>15</v>
      </c>
      <c r="P273" s="20"/>
      <c r="Q273" s="20" t="s">
        <v>395</v>
      </c>
      <c r="R273" s="20" t="s">
        <v>346</v>
      </c>
      <c r="S273" s="58" t="s">
        <v>856</v>
      </c>
      <c r="T273" s="59" t="s">
        <v>738</v>
      </c>
      <c r="U273" s="59" t="s">
        <v>719</v>
      </c>
      <c r="V273" s="78" t="s">
        <v>877</v>
      </c>
      <c r="W273" s="59" t="s">
        <v>853</v>
      </c>
      <c r="X273" s="59" t="s">
        <v>855</v>
      </c>
      <c r="Y273" s="20" t="s">
        <v>717</v>
      </c>
      <c r="Z273" s="71">
        <v>0</v>
      </c>
      <c r="AA273" s="71">
        <v>9080</v>
      </c>
      <c r="AB273" s="71">
        <v>9080</v>
      </c>
      <c r="AC273" s="71">
        <v>9080</v>
      </c>
      <c r="AD273" s="71">
        <f t="shared" si="72"/>
        <v>9080</v>
      </c>
      <c r="AE273" s="71">
        <v>9080</v>
      </c>
      <c r="AF273" s="71">
        <f t="shared" si="73"/>
        <v>9080</v>
      </c>
    </row>
    <row r="274" spans="2:32" s="57" customFormat="1" x14ac:dyDescent="0.2">
      <c r="B274" s="12">
        <f t="shared" si="65"/>
        <v>257</v>
      </c>
      <c r="C274" s="20" t="s">
        <v>16</v>
      </c>
      <c r="D274" s="20">
        <v>3402873</v>
      </c>
      <c r="E274" s="20" t="str">
        <f t="shared" si="74"/>
        <v>3402873</v>
      </c>
      <c r="F274" s="20" t="s">
        <v>11</v>
      </c>
      <c r="G274" s="20" t="s">
        <v>60</v>
      </c>
      <c r="H274" s="20" t="s">
        <v>422</v>
      </c>
      <c r="I274" s="20"/>
      <c r="J274" s="20" t="s">
        <v>292</v>
      </c>
      <c r="K274" s="20" t="s">
        <v>14</v>
      </c>
      <c r="L274" s="20"/>
      <c r="M274" s="20" t="s">
        <v>74</v>
      </c>
      <c r="N274" s="20">
        <v>3</v>
      </c>
      <c r="O274" s="20" t="s">
        <v>15</v>
      </c>
      <c r="P274" s="20"/>
      <c r="Q274" s="20" t="s">
        <v>395</v>
      </c>
      <c r="R274" s="20" t="s">
        <v>346</v>
      </c>
      <c r="S274" s="58" t="s">
        <v>856</v>
      </c>
      <c r="T274" s="59" t="s">
        <v>738</v>
      </c>
      <c r="U274" s="59" t="s">
        <v>718</v>
      </c>
      <c r="V274" s="78" t="s">
        <v>878</v>
      </c>
      <c r="W274" s="59" t="s">
        <v>853</v>
      </c>
      <c r="X274" s="59" t="s">
        <v>855</v>
      </c>
      <c r="Y274" s="20" t="s">
        <v>717</v>
      </c>
      <c r="Z274" s="71">
        <v>0</v>
      </c>
      <c r="AA274" s="71">
        <v>1840</v>
      </c>
      <c r="AB274" s="71">
        <v>5520</v>
      </c>
      <c r="AC274" s="71">
        <v>1840</v>
      </c>
      <c r="AD274" s="71">
        <f t="shared" si="72"/>
        <v>5520</v>
      </c>
      <c r="AE274" s="71">
        <v>1840</v>
      </c>
      <c r="AF274" s="71">
        <f t="shared" si="73"/>
        <v>5520</v>
      </c>
    </row>
    <row r="275" spans="2:32" s="57" customFormat="1" x14ac:dyDescent="0.2">
      <c r="B275" s="12">
        <f t="shared" si="65"/>
        <v>258</v>
      </c>
      <c r="C275" s="20" t="s">
        <v>16</v>
      </c>
      <c r="D275" s="20">
        <v>3402930</v>
      </c>
      <c r="E275" s="20" t="str">
        <f t="shared" si="74"/>
        <v>3402930</v>
      </c>
      <c r="F275" s="20" t="s">
        <v>11</v>
      </c>
      <c r="G275" s="20" t="s">
        <v>293</v>
      </c>
      <c r="H275" s="20" t="s">
        <v>480</v>
      </c>
      <c r="I275" s="20"/>
      <c r="J275" s="20" t="s">
        <v>294</v>
      </c>
      <c r="K275" s="20" t="s">
        <v>14</v>
      </c>
      <c r="L275" s="20"/>
      <c r="M275" s="20" t="s">
        <v>21</v>
      </c>
      <c r="N275" s="20">
        <v>1</v>
      </c>
      <c r="O275" s="20" t="s">
        <v>15</v>
      </c>
      <c r="P275" s="20"/>
      <c r="Q275" s="20" t="s">
        <v>395</v>
      </c>
      <c r="R275" s="20" t="s">
        <v>346</v>
      </c>
      <c r="S275" s="58" t="s">
        <v>856</v>
      </c>
      <c r="T275" s="59" t="s">
        <v>738</v>
      </c>
      <c r="U275" s="59" t="s">
        <v>719</v>
      </c>
      <c r="V275" s="78" t="s">
        <v>879</v>
      </c>
      <c r="W275" s="59" t="s">
        <v>853</v>
      </c>
      <c r="X275" s="59" t="s">
        <v>855</v>
      </c>
      <c r="Y275" s="20" t="s">
        <v>717</v>
      </c>
      <c r="Z275" s="71">
        <v>0</v>
      </c>
      <c r="AA275" s="71">
        <v>1870</v>
      </c>
      <c r="AB275" s="71">
        <v>1870</v>
      </c>
      <c r="AC275" s="71">
        <v>1870</v>
      </c>
      <c r="AD275" s="71">
        <f t="shared" si="72"/>
        <v>1870</v>
      </c>
      <c r="AE275" s="71">
        <v>1870</v>
      </c>
      <c r="AF275" s="71">
        <f t="shared" si="73"/>
        <v>1870</v>
      </c>
    </row>
    <row r="276" spans="2:32" s="57" customFormat="1" x14ac:dyDescent="0.2">
      <c r="B276" s="12">
        <f t="shared" si="65"/>
        <v>259</v>
      </c>
      <c r="C276" s="20" t="s">
        <v>16</v>
      </c>
      <c r="D276" s="20">
        <v>3402935</v>
      </c>
      <c r="E276" s="20" t="str">
        <f t="shared" si="74"/>
        <v>3402935</v>
      </c>
      <c r="F276" s="20" t="s">
        <v>11</v>
      </c>
      <c r="G276" s="20" t="s">
        <v>23</v>
      </c>
      <c r="H276" s="20" t="s">
        <v>410</v>
      </c>
      <c r="I276" s="20"/>
      <c r="J276" s="20" t="s">
        <v>259</v>
      </c>
      <c r="K276" s="20" t="s">
        <v>14</v>
      </c>
      <c r="L276" s="20"/>
      <c r="M276" s="20" t="s">
        <v>190</v>
      </c>
      <c r="N276" s="20">
        <v>5</v>
      </c>
      <c r="O276" s="20" t="s">
        <v>15</v>
      </c>
      <c r="P276" s="20"/>
      <c r="Q276" s="20" t="s">
        <v>395</v>
      </c>
      <c r="R276" s="20" t="s">
        <v>346</v>
      </c>
      <c r="S276" s="58" t="s">
        <v>856</v>
      </c>
      <c r="T276" s="59" t="s">
        <v>738</v>
      </c>
      <c r="U276" s="59" t="s">
        <v>719</v>
      </c>
      <c r="V276" s="78" t="s">
        <v>870</v>
      </c>
      <c r="W276" s="59" t="s">
        <v>853</v>
      </c>
      <c r="X276" s="59" t="s">
        <v>855</v>
      </c>
      <c r="Y276" s="20" t="s">
        <v>717</v>
      </c>
      <c r="Z276" s="71">
        <v>0</v>
      </c>
      <c r="AA276" s="71">
        <v>1070</v>
      </c>
      <c r="AB276" s="71">
        <v>3210</v>
      </c>
      <c r="AC276" s="71">
        <v>1070</v>
      </c>
      <c r="AD276" s="71">
        <f t="shared" si="72"/>
        <v>5350</v>
      </c>
      <c r="AE276" s="71">
        <v>1070</v>
      </c>
      <c r="AF276" s="71">
        <f t="shared" si="73"/>
        <v>5350</v>
      </c>
    </row>
    <row r="277" spans="2:32" s="57" customFormat="1" x14ac:dyDescent="0.2">
      <c r="B277" s="12">
        <f t="shared" ref="B277:B314" si="75">B276+1</f>
        <v>260</v>
      </c>
      <c r="C277" s="20" t="s">
        <v>16</v>
      </c>
      <c r="D277" s="20">
        <v>3402936</v>
      </c>
      <c r="E277" s="20" t="str">
        <f t="shared" si="74"/>
        <v>3402936</v>
      </c>
      <c r="F277" s="20" t="s">
        <v>11</v>
      </c>
      <c r="G277" s="20" t="s">
        <v>23</v>
      </c>
      <c r="H277" s="20" t="s">
        <v>410</v>
      </c>
      <c r="I277" s="20"/>
      <c r="J277" s="20" t="s">
        <v>295</v>
      </c>
      <c r="K277" s="20" t="s">
        <v>14</v>
      </c>
      <c r="L277" s="20"/>
      <c r="M277" s="20" t="s">
        <v>21</v>
      </c>
      <c r="N277" s="20">
        <v>1</v>
      </c>
      <c r="O277" s="20" t="s">
        <v>15</v>
      </c>
      <c r="P277" s="20"/>
      <c r="Q277" s="20" t="s">
        <v>395</v>
      </c>
      <c r="R277" s="20" t="s">
        <v>346</v>
      </c>
      <c r="S277" s="58" t="s">
        <v>856</v>
      </c>
      <c r="T277" s="59" t="s">
        <v>738</v>
      </c>
      <c r="U277" s="59" t="s">
        <v>719</v>
      </c>
      <c r="V277" s="78" t="s">
        <v>880</v>
      </c>
      <c r="W277" s="59" t="s">
        <v>853</v>
      </c>
      <c r="X277" s="59" t="s">
        <v>855</v>
      </c>
      <c r="Y277" s="20" t="s">
        <v>717</v>
      </c>
      <c r="Z277" s="71">
        <v>0</v>
      </c>
      <c r="AA277" s="71">
        <v>1070</v>
      </c>
      <c r="AB277" s="71">
        <v>1070</v>
      </c>
      <c r="AC277" s="71">
        <v>1070</v>
      </c>
      <c r="AD277" s="71">
        <f t="shared" si="72"/>
        <v>1070</v>
      </c>
      <c r="AE277" s="71">
        <v>1070</v>
      </c>
      <c r="AF277" s="71">
        <f t="shared" si="73"/>
        <v>1070</v>
      </c>
    </row>
    <row r="278" spans="2:32" s="57" customFormat="1" x14ac:dyDescent="0.2">
      <c r="B278" s="12">
        <f t="shared" si="75"/>
        <v>261</v>
      </c>
      <c r="C278" s="20" t="s">
        <v>16</v>
      </c>
      <c r="D278" s="20">
        <v>400000508</v>
      </c>
      <c r="E278" s="20" t="str">
        <f t="shared" si="74"/>
        <v>400000508</v>
      </c>
      <c r="F278" s="20" t="s">
        <v>11</v>
      </c>
      <c r="G278" s="20" t="s">
        <v>23</v>
      </c>
      <c r="H278" s="20" t="s">
        <v>410</v>
      </c>
      <c r="I278" s="20"/>
      <c r="J278" s="20" t="s">
        <v>296</v>
      </c>
      <c r="K278" s="20" t="s">
        <v>14</v>
      </c>
      <c r="L278" s="20"/>
      <c r="M278" s="20" t="s">
        <v>55</v>
      </c>
      <c r="N278" s="20">
        <v>4</v>
      </c>
      <c r="O278" s="20" t="s">
        <v>15</v>
      </c>
      <c r="P278" s="20"/>
      <c r="Q278" s="20" t="s">
        <v>395</v>
      </c>
      <c r="R278" s="20" t="s">
        <v>346</v>
      </c>
      <c r="S278" s="58" t="s">
        <v>772</v>
      </c>
      <c r="T278" s="59" t="s">
        <v>738</v>
      </c>
      <c r="U278" s="59" t="s">
        <v>718</v>
      </c>
      <c r="V278" s="78">
        <v>3568</v>
      </c>
      <c r="W278" s="59" t="s">
        <v>809</v>
      </c>
      <c r="X278" s="59" t="s">
        <v>847</v>
      </c>
      <c r="Y278" s="20" t="s">
        <v>717</v>
      </c>
      <c r="Z278" s="71">
        <v>0</v>
      </c>
      <c r="AA278" s="71">
        <v>2000</v>
      </c>
      <c r="AB278" s="71">
        <v>8000</v>
      </c>
      <c r="AC278" s="71">
        <v>1200</v>
      </c>
      <c r="AD278" s="71">
        <f t="shared" si="72"/>
        <v>4800</v>
      </c>
      <c r="AE278" s="71">
        <v>1200</v>
      </c>
      <c r="AF278" s="71">
        <f t="shared" si="73"/>
        <v>4800</v>
      </c>
    </row>
    <row r="279" spans="2:32" s="57" customFormat="1" x14ac:dyDescent="0.2">
      <c r="B279" s="12">
        <f t="shared" si="75"/>
        <v>262</v>
      </c>
      <c r="C279" s="20" t="s">
        <v>16</v>
      </c>
      <c r="D279" s="20">
        <v>400000566</v>
      </c>
      <c r="E279" s="20" t="str">
        <f t="shared" si="74"/>
        <v>400000566</v>
      </c>
      <c r="F279" s="20" t="s">
        <v>11</v>
      </c>
      <c r="G279" s="20" t="s">
        <v>23</v>
      </c>
      <c r="H279" s="20" t="s">
        <v>410</v>
      </c>
      <c r="I279" s="20"/>
      <c r="J279" s="20" t="s">
        <v>297</v>
      </c>
      <c r="K279" s="20" t="s">
        <v>14</v>
      </c>
      <c r="L279" s="20"/>
      <c r="M279" s="20" t="s">
        <v>200</v>
      </c>
      <c r="N279" s="20">
        <v>6</v>
      </c>
      <c r="O279" s="20" t="s">
        <v>15</v>
      </c>
      <c r="P279" s="20"/>
      <c r="Q279" s="20" t="s">
        <v>395</v>
      </c>
      <c r="R279" s="20" t="s">
        <v>346</v>
      </c>
      <c r="S279" s="58" t="s">
        <v>863</v>
      </c>
      <c r="T279" s="59" t="s">
        <v>836</v>
      </c>
      <c r="U279" s="59" t="s">
        <v>718</v>
      </c>
      <c r="V279" s="78" t="s">
        <v>961</v>
      </c>
      <c r="W279" s="59" t="s">
        <v>891</v>
      </c>
      <c r="X279" s="59" t="s">
        <v>751</v>
      </c>
      <c r="Y279" s="20" t="s">
        <v>717</v>
      </c>
      <c r="Z279" s="71">
        <v>1145.5</v>
      </c>
      <c r="AA279" s="71">
        <v>3200</v>
      </c>
      <c r="AB279" s="71">
        <v>19200</v>
      </c>
      <c r="AC279" s="71">
        <v>3200</v>
      </c>
      <c r="AD279" s="71">
        <f t="shared" si="72"/>
        <v>19200</v>
      </c>
      <c r="AE279" s="71">
        <v>3200</v>
      </c>
      <c r="AF279" s="71">
        <f t="shared" si="73"/>
        <v>19200</v>
      </c>
    </row>
    <row r="280" spans="2:32" s="57" customFormat="1" x14ac:dyDescent="0.2">
      <c r="B280" s="12">
        <f t="shared" si="75"/>
        <v>263</v>
      </c>
      <c r="C280" s="20" t="s">
        <v>16</v>
      </c>
      <c r="D280" s="20">
        <v>4001168</v>
      </c>
      <c r="E280" s="20" t="str">
        <f t="shared" si="74"/>
        <v>4001168</v>
      </c>
      <c r="F280" s="20" t="s">
        <v>11</v>
      </c>
      <c r="G280" s="20" t="s">
        <v>298</v>
      </c>
      <c r="H280" s="20" t="s">
        <v>481</v>
      </c>
      <c r="I280" s="20"/>
      <c r="J280" s="20" t="s">
        <v>299</v>
      </c>
      <c r="K280" s="20" t="s">
        <v>14</v>
      </c>
      <c r="L280" s="20"/>
      <c r="M280" s="20" t="s">
        <v>132</v>
      </c>
      <c r="N280" s="20">
        <v>8</v>
      </c>
      <c r="O280" s="20" t="s">
        <v>15</v>
      </c>
      <c r="P280" s="20"/>
      <c r="Q280" s="20" t="s">
        <v>395</v>
      </c>
      <c r="R280" s="20" t="s">
        <v>346</v>
      </c>
      <c r="S280" s="58" t="s">
        <v>864</v>
      </c>
      <c r="T280" s="59" t="s">
        <v>836</v>
      </c>
      <c r="U280" s="59" t="s">
        <v>712</v>
      </c>
      <c r="V280" s="78" t="s">
        <v>881</v>
      </c>
      <c r="W280" s="59" t="s">
        <v>806</v>
      </c>
      <c r="X280" s="59" t="s">
        <v>751</v>
      </c>
      <c r="Y280" s="20" t="s">
        <v>717</v>
      </c>
      <c r="Z280" s="71">
        <v>5974</v>
      </c>
      <c r="AA280" s="71">
        <v>73984</v>
      </c>
      <c r="AB280" s="71">
        <f>AA280*N280</f>
        <v>591872</v>
      </c>
      <c r="AC280" s="71">
        <v>95234</v>
      </c>
      <c r="AD280" s="71">
        <f t="shared" si="72"/>
        <v>761872</v>
      </c>
      <c r="AE280" s="71">
        <v>71000</v>
      </c>
      <c r="AF280" s="71">
        <f t="shared" si="73"/>
        <v>568000</v>
      </c>
    </row>
    <row r="281" spans="2:32" s="57" customFormat="1" x14ac:dyDescent="0.2">
      <c r="B281" s="12">
        <f t="shared" si="75"/>
        <v>264</v>
      </c>
      <c r="C281" s="20" t="s">
        <v>16</v>
      </c>
      <c r="D281" s="20">
        <v>4001170</v>
      </c>
      <c r="E281" s="20" t="str">
        <f t="shared" si="74"/>
        <v>4001170</v>
      </c>
      <c r="F281" s="20" t="s">
        <v>11</v>
      </c>
      <c r="G281" s="20" t="s">
        <v>300</v>
      </c>
      <c r="H281" s="20" t="s">
        <v>482</v>
      </c>
      <c r="I281" s="20"/>
      <c r="J281" s="20" t="s">
        <v>301</v>
      </c>
      <c r="K281" s="20" t="s">
        <v>14</v>
      </c>
      <c r="L281" s="20"/>
      <c r="M281" s="20" t="s">
        <v>55</v>
      </c>
      <c r="N281" s="20">
        <v>4</v>
      </c>
      <c r="O281" s="20" t="s">
        <v>15</v>
      </c>
      <c r="P281" s="20"/>
      <c r="Q281" s="20" t="s">
        <v>395</v>
      </c>
      <c r="R281" s="20" t="s">
        <v>346</v>
      </c>
      <c r="S281" s="58" t="s">
        <v>864</v>
      </c>
      <c r="T281" s="59" t="s">
        <v>836</v>
      </c>
      <c r="U281" s="59" t="s">
        <v>712</v>
      </c>
      <c r="V281" s="78" t="s">
        <v>882</v>
      </c>
      <c r="W281" s="59" t="s">
        <v>806</v>
      </c>
      <c r="X281" s="59" t="s">
        <v>751</v>
      </c>
      <c r="Y281" s="20" t="s">
        <v>717</v>
      </c>
      <c r="Z281" s="71">
        <v>8917.5</v>
      </c>
      <c r="AA281" s="71">
        <v>16768</v>
      </c>
      <c r="AB281" s="71">
        <f>AA281*N281</f>
        <v>67072</v>
      </c>
      <c r="AC281" s="71">
        <v>38018</v>
      </c>
      <c r="AD281" s="71">
        <f t="shared" si="72"/>
        <v>152072</v>
      </c>
      <c r="AE281" s="71">
        <v>22000</v>
      </c>
      <c r="AF281" s="71">
        <f t="shared" si="73"/>
        <v>88000</v>
      </c>
    </row>
    <row r="282" spans="2:32" s="57" customFormat="1" ht="27" x14ac:dyDescent="0.2">
      <c r="B282" s="19">
        <f t="shared" si="75"/>
        <v>265</v>
      </c>
      <c r="C282" s="18" t="s">
        <v>16</v>
      </c>
      <c r="D282" s="18">
        <v>440000185</v>
      </c>
      <c r="E282" s="18" t="str">
        <f t="shared" si="74"/>
        <v>440000185</v>
      </c>
      <c r="F282" s="18" t="s">
        <v>11</v>
      </c>
      <c r="G282" s="18" t="s">
        <v>302</v>
      </c>
      <c r="H282" s="18" t="s">
        <v>483</v>
      </c>
      <c r="I282" s="18" t="s">
        <v>512</v>
      </c>
      <c r="J282" s="18" t="s">
        <v>303</v>
      </c>
      <c r="K282" s="18" t="s">
        <v>14</v>
      </c>
      <c r="L282" s="18"/>
      <c r="M282" s="18" t="s">
        <v>18</v>
      </c>
      <c r="N282" s="18">
        <v>2</v>
      </c>
      <c r="O282" s="18" t="s">
        <v>38</v>
      </c>
      <c r="P282" s="18"/>
      <c r="Q282" s="18" t="s">
        <v>395</v>
      </c>
      <c r="R282" s="18" t="s">
        <v>346</v>
      </c>
      <c r="S282" s="55" t="s">
        <v>865</v>
      </c>
      <c r="T282" s="56" t="s">
        <v>836</v>
      </c>
      <c r="U282" s="56" t="s">
        <v>712</v>
      </c>
      <c r="V282" s="76" t="s">
        <v>883</v>
      </c>
      <c r="W282" s="56" t="s">
        <v>815</v>
      </c>
      <c r="X282" s="56" t="s">
        <v>751</v>
      </c>
      <c r="Y282" s="18" t="s">
        <v>717</v>
      </c>
      <c r="Z282" s="73">
        <v>0</v>
      </c>
      <c r="AA282" s="73">
        <v>8</v>
      </c>
      <c r="AB282" s="73">
        <v>16</v>
      </c>
      <c r="AC282" s="73">
        <v>8</v>
      </c>
      <c r="AD282" s="73">
        <f t="shared" si="72"/>
        <v>16</v>
      </c>
      <c r="AE282" s="73">
        <v>8</v>
      </c>
      <c r="AF282" s="73">
        <f t="shared" si="73"/>
        <v>16</v>
      </c>
    </row>
    <row r="283" spans="2:32" s="57" customFormat="1" x14ac:dyDescent="0.2">
      <c r="B283" s="12">
        <f t="shared" si="75"/>
        <v>266</v>
      </c>
      <c r="C283" s="20" t="s">
        <v>16</v>
      </c>
      <c r="D283" s="20">
        <v>440000287</v>
      </c>
      <c r="E283" s="20" t="str">
        <f t="shared" si="74"/>
        <v>440000287</v>
      </c>
      <c r="F283" s="20" t="s">
        <v>11</v>
      </c>
      <c r="G283" s="20" t="s">
        <v>304</v>
      </c>
      <c r="H283" s="20" t="s">
        <v>484</v>
      </c>
      <c r="I283" s="20"/>
      <c r="J283" s="20" t="s">
        <v>390</v>
      </c>
      <c r="K283" s="20" t="s">
        <v>14</v>
      </c>
      <c r="L283" s="20"/>
      <c r="M283" s="20" t="s">
        <v>55</v>
      </c>
      <c r="N283" s="20">
        <v>4</v>
      </c>
      <c r="O283" s="20" t="s">
        <v>15</v>
      </c>
      <c r="P283" s="20"/>
      <c r="Q283" s="20" t="s">
        <v>395</v>
      </c>
      <c r="R283" s="20" t="s">
        <v>346</v>
      </c>
      <c r="S283" s="58" t="s">
        <v>747</v>
      </c>
      <c r="T283" s="59" t="s">
        <v>1238</v>
      </c>
      <c r="U283" s="59" t="s">
        <v>720</v>
      </c>
      <c r="V283" s="78" t="s">
        <v>1045</v>
      </c>
      <c r="W283" s="59" t="s">
        <v>805</v>
      </c>
      <c r="X283" s="59" t="s">
        <v>840</v>
      </c>
      <c r="Y283" s="20" t="s">
        <v>843</v>
      </c>
      <c r="Z283" s="71">
        <v>0</v>
      </c>
      <c r="AA283" s="71">
        <v>250</v>
      </c>
      <c r="AB283" s="71">
        <v>250</v>
      </c>
      <c r="AC283" s="113">
        <v>9.44</v>
      </c>
      <c r="AD283" s="113">
        <f>$AC283*$Y$1</f>
        <v>12800.64</v>
      </c>
      <c r="AE283" s="113">
        <v>9.44</v>
      </c>
      <c r="AF283" s="113">
        <f>$AC283*$Y$1</f>
        <v>12800.64</v>
      </c>
    </row>
    <row r="284" spans="2:32" s="57" customFormat="1" x14ac:dyDescent="0.2">
      <c r="B284" s="12">
        <f t="shared" si="75"/>
        <v>267</v>
      </c>
      <c r="C284" s="20" t="s">
        <v>16</v>
      </c>
      <c r="D284" s="20">
        <v>4400029</v>
      </c>
      <c r="E284" s="20" t="str">
        <f t="shared" si="74"/>
        <v>4400029</v>
      </c>
      <c r="F284" s="20" t="s">
        <v>11</v>
      </c>
      <c r="G284" s="20" t="s">
        <v>305</v>
      </c>
      <c r="H284" s="20" t="s">
        <v>485</v>
      </c>
      <c r="I284" s="20"/>
      <c r="J284" s="20" t="s">
        <v>370</v>
      </c>
      <c r="K284" s="20" t="s">
        <v>14</v>
      </c>
      <c r="L284" s="20"/>
      <c r="M284" s="20" t="s">
        <v>200</v>
      </c>
      <c r="N284" s="20">
        <v>6</v>
      </c>
      <c r="O284" s="20" t="s">
        <v>15</v>
      </c>
      <c r="P284" s="20"/>
      <c r="Q284" s="20" t="s">
        <v>395</v>
      </c>
      <c r="R284" s="20" t="s">
        <v>346</v>
      </c>
      <c r="S284" s="58" t="s">
        <v>712</v>
      </c>
      <c r="T284" s="59" t="s">
        <v>722</v>
      </c>
      <c r="U284" s="59" t="s">
        <v>720</v>
      </c>
      <c r="V284" s="78" t="s">
        <v>884</v>
      </c>
      <c r="W284" s="59" t="s">
        <v>815</v>
      </c>
      <c r="X284" s="59" t="s">
        <v>751</v>
      </c>
      <c r="Y284" s="20" t="s">
        <v>717</v>
      </c>
      <c r="Z284" s="71">
        <v>0</v>
      </c>
      <c r="AA284" s="71">
        <v>125</v>
      </c>
      <c r="AB284" s="71">
        <v>750</v>
      </c>
      <c r="AC284" s="71">
        <v>125</v>
      </c>
      <c r="AD284" s="71">
        <f t="shared" ref="AD284:AD300" si="76">$AC284*$N284</f>
        <v>750</v>
      </c>
      <c r="AE284" s="71">
        <v>125</v>
      </c>
      <c r="AF284" s="71">
        <f t="shared" ref="AF284:AF300" si="77">$AE284*$N284</f>
        <v>750</v>
      </c>
    </row>
    <row r="285" spans="2:32" s="57" customFormat="1" x14ac:dyDescent="0.2">
      <c r="B285" s="19">
        <f t="shared" si="75"/>
        <v>268</v>
      </c>
      <c r="C285" s="18" t="s">
        <v>16</v>
      </c>
      <c r="D285" s="18">
        <v>4400033</v>
      </c>
      <c r="E285" s="18" t="str">
        <f t="shared" si="74"/>
        <v>4400033</v>
      </c>
      <c r="F285" s="18" t="s">
        <v>11</v>
      </c>
      <c r="G285" s="18" t="s">
        <v>293</v>
      </c>
      <c r="H285" s="18" t="s">
        <v>482</v>
      </c>
      <c r="I285" s="18" t="s">
        <v>530</v>
      </c>
      <c r="J285" s="18" t="s">
        <v>347</v>
      </c>
      <c r="K285" s="18" t="s">
        <v>14</v>
      </c>
      <c r="L285" s="18"/>
      <c r="M285" s="18" t="s">
        <v>200</v>
      </c>
      <c r="N285" s="18">
        <v>6</v>
      </c>
      <c r="O285" s="18" t="s">
        <v>38</v>
      </c>
      <c r="P285" s="18"/>
      <c r="Q285" s="18" t="s">
        <v>395</v>
      </c>
      <c r="R285" s="18" t="s">
        <v>346</v>
      </c>
      <c r="S285" s="55" t="s">
        <v>712</v>
      </c>
      <c r="T285" s="56" t="s">
        <v>722</v>
      </c>
      <c r="U285" s="56" t="s">
        <v>720</v>
      </c>
      <c r="V285" s="76" t="s">
        <v>885</v>
      </c>
      <c r="W285" s="56" t="s">
        <v>815</v>
      </c>
      <c r="X285" s="56" t="s">
        <v>751</v>
      </c>
      <c r="Y285" s="18" t="s">
        <v>717</v>
      </c>
      <c r="Z285" s="73">
        <v>0</v>
      </c>
      <c r="AA285" s="73">
        <v>3</v>
      </c>
      <c r="AB285" s="73">
        <v>18</v>
      </c>
      <c r="AC285" s="73">
        <v>3</v>
      </c>
      <c r="AD285" s="73">
        <f t="shared" si="76"/>
        <v>18</v>
      </c>
      <c r="AE285" s="73">
        <v>3</v>
      </c>
      <c r="AF285" s="73">
        <f t="shared" si="77"/>
        <v>18</v>
      </c>
    </row>
    <row r="286" spans="2:32" s="57" customFormat="1" x14ac:dyDescent="0.2">
      <c r="B286" s="12">
        <f t="shared" si="75"/>
        <v>269</v>
      </c>
      <c r="C286" s="20" t="s">
        <v>16</v>
      </c>
      <c r="D286" s="20">
        <v>4400035</v>
      </c>
      <c r="E286" s="20" t="str">
        <f t="shared" si="74"/>
        <v>4400035</v>
      </c>
      <c r="F286" s="20" t="s">
        <v>11</v>
      </c>
      <c r="G286" s="20" t="s">
        <v>306</v>
      </c>
      <c r="H286" s="20" t="s">
        <v>486</v>
      </c>
      <c r="I286" s="20"/>
      <c r="J286" s="20" t="s">
        <v>348</v>
      </c>
      <c r="K286" s="20" t="s">
        <v>14</v>
      </c>
      <c r="L286" s="20"/>
      <c r="M286" s="20" t="s">
        <v>200</v>
      </c>
      <c r="N286" s="20">
        <v>6</v>
      </c>
      <c r="O286" s="20" t="s">
        <v>15</v>
      </c>
      <c r="P286" s="20"/>
      <c r="Q286" s="20" t="s">
        <v>395</v>
      </c>
      <c r="R286" s="20" t="s">
        <v>346</v>
      </c>
      <c r="S286" s="58" t="s">
        <v>712</v>
      </c>
      <c r="T286" s="59" t="s">
        <v>722</v>
      </c>
      <c r="U286" s="59" t="s">
        <v>720</v>
      </c>
      <c r="V286" s="78" t="s">
        <v>886</v>
      </c>
      <c r="W286" s="59" t="s">
        <v>815</v>
      </c>
      <c r="X286" s="59" t="s">
        <v>751</v>
      </c>
      <c r="Y286" s="20" t="s">
        <v>717</v>
      </c>
      <c r="Z286" s="71">
        <v>0</v>
      </c>
      <c r="AA286" s="71">
        <v>4</v>
      </c>
      <c r="AB286" s="71">
        <v>24</v>
      </c>
      <c r="AC286" s="71">
        <v>4</v>
      </c>
      <c r="AD286" s="71">
        <f t="shared" si="76"/>
        <v>24</v>
      </c>
      <c r="AE286" s="71">
        <v>4</v>
      </c>
      <c r="AF286" s="71">
        <f t="shared" si="77"/>
        <v>24</v>
      </c>
    </row>
    <row r="287" spans="2:32" s="57" customFormat="1" x14ac:dyDescent="0.2">
      <c r="B287" s="12">
        <f t="shared" si="75"/>
        <v>270</v>
      </c>
      <c r="C287" s="20" t="s">
        <v>16</v>
      </c>
      <c r="D287" s="20">
        <v>4400074</v>
      </c>
      <c r="E287" s="20" t="str">
        <f t="shared" si="74"/>
        <v>4400074</v>
      </c>
      <c r="F287" s="20" t="s">
        <v>11</v>
      </c>
      <c r="G287" s="20" t="s">
        <v>32</v>
      </c>
      <c r="H287" s="20" t="s">
        <v>413</v>
      </c>
      <c r="I287" s="20"/>
      <c r="J287" s="20" t="s">
        <v>307</v>
      </c>
      <c r="K287" s="20" t="s">
        <v>14</v>
      </c>
      <c r="L287" s="20"/>
      <c r="M287" s="20" t="s">
        <v>55</v>
      </c>
      <c r="N287" s="20">
        <v>4</v>
      </c>
      <c r="O287" s="20" t="s">
        <v>15</v>
      </c>
      <c r="P287" s="20"/>
      <c r="Q287" s="20" t="s">
        <v>395</v>
      </c>
      <c r="R287" s="20" t="s">
        <v>346</v>
      </c>
      <c r="S287" s="58" t="s">
        <v>712</v>
      </c>
      <c r="T287" s="59" t="s">
        <v>722</v>
      </c>
      <c r="U287" s="59" t="s">
        <v>720</v>
      </c>
      <c r="V287" s="78" t="s">
        <v>307</v>
      </c>
      <c r="W287" s="59" t="s">
        <v>815</v>
      </c>
      <c r="X287" s="59" t="s">
        <v>751</v>
      </c>
      <c r="Y287" s="20" t="s">
        <v>717</v>
      </c>
      <c r="Z287" s="71">
        <v>0</v>
      </c>
      <c r="AA287" s="71">
        <v>143</v>
      </c>
      <c r="AB287" s="71">
        <v>572</v>
      </c>
      <c r="AC287" s="71">
        <v>143</v>
      </c>
      <c r="AD287" s="71">
        <f t="shared" si="76"/>
        <v>572</v>
      </c>
      <c r="AE287" s="71">
        <v>143</v>
      </c>
      <c r="AF287" s="71">
        <f t="shared" si="77"/>
        <v>572</v>
      </c>
    </row>
    <row r="288" spans="2:32" s="57" customFormat="1" x14ac:dyDescent="0.2">
      <c r="B288" s="12">
        <f t="shared" si="75"/>
        <v>271</v>
      </c>
      <c r="C288" s="20" t="s">
        <v>16</v>
      </c>
      <c r="D288" s="20">
        <v>4400092</v>
      </c>
      <c r="E288" s="20" t="str">
        <f t="shared" si="74"/>
        <v>4400092</v>
      </c>
      <c r="F288" s="20" t="s">
        <v>11</v>
      </c>
      <c r="G288" s="20" t="s">
        <v>50</v>
      </c>
      <c r="H288" s="20" t="s">
        <v>417</v>
      </c>
      <c r="I288" s="20"/>
      <c r="J288" s="20" t="s">
        <v>308</v>
      </c>
      <c r="K288" s="20" t="s">
        <v>14</v>
      </c>
      <c r="L288" s="20"/>
      <c r="M288" s="20" t="s">
        <v>132</v>
      </c>
      <c r="N288" s="20">
        <v>8</v>
      </c>
      <c r="O288" s="20" t="s">
        <v>15</v>
      </c>
      <c r="P288" s="20"/>
      <c r="Q288" s="20" t="s">
        <v>395</v>
      </c>
      <c r="R288" s="20" t="s">
        <v>346</v>
      </c>
      <c r="S288" s="58" t="s">
        <v>712</v>
      </c>
      <c r="T288" s="59" t="s">
        <v>722</v>
      </c>
      <c r="U288" s="59" t="s">
        <v>720</v>
      </c>
      <c r="V288" s="78" t="s">
        <v>308</v>
      </c>
      <c r="W288" s="59" t="s">
        <v>815</v>
      </c>
      <c r="X288" s="59" t="s">
        <v>751</v>
      </c>
      <c r="Y288" s="20" t="s">
        <v>717</v>
      </c>
      <c r="Z288" s="71">
        <v>0</v>
      </c>
      <c r="AA288" s="71">
        <v>308</v>
      </c>
      <c r="AB288" s="71">
        <v>2464</v>
      </c>
      <c r="AC288" s="71">
        <v>308</v>
      </c>
      <c r="AD288" s="71">
        <f t="shared" si="76"/>
        <v>2464</v>
      </c>
      <c r="AE288" s="71">
        <v>308</v>
      </c>
      <c r="AF288" s="71">
        <f t="shared" si="77"/>
        <v>2464</v>
      </c>
    </row>
    <row r="289" spans="2:32" s="57" customFormat="1" x14ac:dyDescent="0.2">
      <c r="B289" s="12">
        <f t="shared" si="75"/>
        <v>272</v>
      </c>
      <c r="C289" s="20" t="s">
        <v>16</v>
      </c>
      <c r="D289" s="20">
        <v>4400138</v>
      </c>
      <c r="E289" s="20" t="str">
        <f t="shared" si="74"/>
        <v>4400138</v>
      </c>
      <c r="F289" s="20" t="s">
        <v>11</v>
      </c>
      <c r="G289" s="20" t="s">
        <v>309</v>
      </c>
      <c r="H289" s="20" t="s">
        <v>487</v>
      </c>
      <c r="I289" s="20"/>
      <c r="J289" s="20" t="s">
        <v>310</v>
      </c>
      <c r="K289" s="20" t="s">
        <v>14</v>
      </c>
      <c r="L289" s="20"/>
      <c r="M289" s="20" t="s">
        <v>200</v>
      </c>
      <c r="N289" s="20">
        <v>6</v>
      </c>
      <c r="O289" s="20" t="s">
        <v>15</v>
      </c>
      <c r="P289" s="20"/>
      <c r="Q289" s="20" t="s">
        <v>395</v>
      </c>
      <c r="R289" s="20" t="s">
        <v>346</v>
      </c>
      <c r="S289" s="58" t="s">
        <v>712</v>
      </c>
      <c r="T289" s="59" t="s">
        <v>722</v>
      </c>
      <c r="U289" s="59" t="s">
        <v>720</v>
      </c>
      <c r="V289" s="78" t="s">
        <v>310</v>
      </c>
      <c r="W289" s="59" t="s">
        <v>815</v>
      </c>
      <c r="X289" s="59" t="s">
        <v>751</v>
      </c>
      <c r="Y289" s="20" t="s">
        <v>717</v>
      </c>
      <c r="Z289" s="71">
        <v>0</v>
      </c>
      <c r="AA289" s="71">
        <v>100</v>
      </c>
      <c r="AB289" s="71">
        <v>600</v>
      </c>
      <c r="AC289" s="71">
        <v>100</v>
      </c>
      <c r="AD289" s="71">
        <f t="shared" si="76"/>
        <v>600</v>
      </c>
      <c r="AE289" s="71">
        <v>100</v>
      </c>
      <c r="AF289" s="71">
        <f t="shared" si="77"/>
        <v>600</v>
      </c>
    </row>
    <row r="290" spans="2:32" s="57" customFormat="1" x14ac:dyDescent="0.2">
      <c r="B290" s="12">
        <f t="shared" si="75"/>
        <v>273</v>
      </c>
      <c r="C290" s="20" t="s">
        <v>16</v>
      </c>
      <c r="D290" s="20">
        <v>4400142</v>
      </c>
      <c r="E290" s="20" t="str">
        <f t="shared" si="74"/>
        <v>4400142</v>
      </c>
      <c r="F290" s="20" t="s">
        <v>11</v>
      </c>
      <c r="G290" s="20" t="s">
        <v>305</v>
      </c>
      <c r="H290" s="20" t="s">
        <v>485</v>
      </c>
      <c r="I290" s="20"/>
      <c r="J290" s="20" t="s">
        <v>311</v>
      </c>
      <c r="K290" s="20" t="s">
        <v>14</v>
      </c>
      <c r="L290" s="20"/>
      <c r="M290" s="20" t="s">
        <v>21</v>
      </c>
      <c r="N290" s="20">
        <v>1</v>
      </c>
      <c r="O290" s="20" t="s">
        <v>15</v>
      </c>
      <c r="P290" s="20"/>
      <c r="Q290" s="20" t="s">
        <v>395</v>
      </c>
      <c r="R290" s="20" t="s">
        <v>346</v>
      </c>
      <c r="S290" s="58" t="s">
        <v>712</v>
      </c>
      <c r="T290" s="59" t="s">
        <v>722</v>
      </c>
      <c r="U290" s="59" t="s">
        <v>720</v>
      </c>
      <c r="V290" s="78" t="s">
        <v>311</v>
      </c>
      <c r="W290" s="59" t="s">
        <v>815</v>
      </c>
      <c r="X290" s="59" t="s">
        <v>751</v>
      </c>
      <c r="Y290" s="20" t="s">
        <v>717</v>
      </c>
      <c r="Z290" s="71">
        <v>0</v>
      </c>
      <c r="AA290" s="71">
        <v>50</v>
      </c>
      <c r="AB290" s="71">
        <v>50</v>
      </c>
      <c r="AC290" s="71">
        <v>50</v>
      </c>
      <c r="AD290" s="71">
        <f t="shared" si="76"/>
        <v>50</v>
      </c>
      <c r="AE290" s="71">
        <v>50</v>
      </c>
      <c r="AF290" s="71">
        <f t="shared" si="77"/>
        <v>50</v>
      </c>
    </row>
    <row r="291" spans="2:32" s="57" customFormat="1" x14ac:dyDescent="0.2">
      <c r="B291" s="12">
        <f t="shared" si="75"/>
        <v>274</v>
      </c>
      <c r="C291" s="20" t="s">
        <v>16</v>
      </c>
      <c r="D291" s="20">
        <v>4400154</v>
      </c>
      <c r="E291" s="20" t="str">
        <f t="shared" si="74"/>
        <v>4400154</v>
      </c>
      <c r="F291" s="20" t="s">
        <v>11</v>
      </c>
      <c r="G291" s="20" t="s">
        <v>306</v>
      </c>
      <c r="H291" s="20" t="s">
        <v>486</v>
      </c>
      <c r="I291" s="20"/>
      <c r="J291" s="20" t="s">
        <v>312</v>
      </c>
      <c r="K291" s="20" t="s">
        <v>14</v>
      </c>
      <c r="L291" s="20"/>
      <c r="M291" s="20" t="s">
        <v>209</v>
      </c>
      <c r="N291" s="20">
        <v>16</v>
      </c>
      <c r="O291" s="20" t="s">
        <v>15</v>
      </c>
      <c r="P291" s="20"/>
      <c r="Q291" s="20" t="s">
        <v>395</v>
      </c>
      <c r="R291" s="20" t="s">
        <v>346</v>
      </c>
      <c r="S291" s="58" t="s">
        <v>712</v>
      </c>
      <c r="T291" s="59" t="s">
        <v>722</v>
      </c>
      <c r="U291" s="59" t="s">
        <v>720</v>
      </c>
      <c r="V291" s="78" t="s">
        <v>312</v>
      </c>
      <c r="W291" s="59" t="s">
        <v>815</v>
      </c>
      <c r="X291" s="59" t="s">
        <v>751</v>
      </c>
      <c r="Y291" s="20" t="s">
        <v>717</v>
      </c>
      <c r="Z291" s="71">
        <v>0</v>
      </c>
      <c r="AA291" s="71">
        <v>33</v>
      </c>
      <c r="AB291" s="71">
        <v>528</v>
      </c>
      <c r="AC291" s="71">
        <v>33</v>
      </c>
      <c r="AD291" s="71">
        <f t="shared" si="76"/>
        <v>528</v>
      </c>
      <c r="AE291" s="71">
        <v>33</v>
      </c>
      <c r="AF291" s="71">
        <f t="shared" si="77"/>
        <v>528</v>
      </c>
    </row>
    <row r="292" spans="2:32" s="57" customFormat="1" x14ac:dyDescent="0.2">
      <c r="B292" s="12">
        <f t="shared" si="75"/>
        <v>275</v>
      </c>
      <c r="C292" s="20" t="s">
        <v>16</v>
      </c>
      <c r="D292" s="20">
        <v>4400211</v>
      </c>
      <c r="E292" s="20" t="str">
        <f t="shared" si="74"/>
        <v>4400211</v>
      </c>
      <c r="F292" s="20" t="s">
        <v>11</v>
      </c>
      <c r="G292" s="20" t="s">
        <v>50</v>
      </c>
      <c r="H292" s="20" t="s">
        <v>417</v>
      </c>
      <c r="I292" s="20"/>
      <c r="J292" s="20" t="s">
        <v>313</v>
      </c>
      <c r="K292" s="20" t="s">
        <v>14</v>
      </c>
      <c r="L292" s="20"/>
      <c r="M292" s="20" t="s">
        <v>209</v>
      </c>
      <c r="N292" s="20">
        <v>16</v>
      </c>
      <c r="O292" s="20" t="s">
        <v>15</v>
      </c>
      <c r="P292" s="20"/>
      <c r="Q292" s="20" t="s">
        <v>395</v>
      </c>
      <c r="R292" s="20" t="s">
        <v>346</v>
      </c>
      <c r="S292" s="58" t="s">
        <v>712</v>
      </c>
      <c r="T292" s="59" t="s">
        <v>722</v>
      </c>
      <c r="U292" s="59" t="s">
        <v>720</v>
      </c>
      <c r="V292" s="78" t="s">
        <v>313</v>
      </c>
      <c r="W292" s="59" t="s">
        <v>815</v>
      </c>
      <c r="X292" s="59" t="s">
        <v>751</v>
      </c>
      <c r="Y292" s="20" t="s">
        <v>717</v>
      </c>
      <c r="Z292" s="71">
        <v>0</v>
      </c>
      <c r="AA292" s="71">
        <v>693</v>
      </c>
      <c r="AB292" s="71">
        <v>11088</v>
      </c>
      <c r="AC292" s="71">
        <v>693</v>
      </c>
      <c r="AD292" s="71">
        <f t="shared" si="76"/>
        <v>11088</v>
      </c>
      <c r="AE292" s="71">
        <v>693</v>
      </c>
      <c r="AF292" s="71">
        <f t="shared" si="77"/>
        <v>11088</v>
      </c>
    </row>
    <row r="293" spans="2:32" s="57" customFormat="1" x14ac:dyDescent="0.2">
      <c r="B293" s="12">
        <f t="shared" si="75"/>
        <v>276</v>
      </c>
      <c r="C293" s="20" t="s">
        <v>16</v>
      </c>
      <c r="D293" s="20">
        <v>4400302</v>
      </c>
      <c r="E293" s="20" t="str">
        <f t="shared" si="74"/>
        <v>4400302</v>
      </c>
      <c r="F293" s="20" t="s">
        <v>11</v>
      </c>
      <c r="G293" s="20" t="s">
        <v>314</v>
      </c>
      <c r="H293" s="20" t="s">
        <v>488</v>
      </c>
      <c r="I293" s="20"/>
      <c r="J293" s="20" t="s">
        <v>315</v>
      </c>
      <c r="K293" s="20" t="s">
        <v>14</v>
      </c>
      <c r="L293" s="20"/>
      <c r="M293" s="20" t="s">
        <v>132</v>
      </c>
      <c r="N293" s="20">
        <v>8</v>
      </c>
      <c r="O293" s="20" t="s">
        <v>15</v>
      </c>
      <c r="P293" s="20"/>
      <c r="Q293" s="20" t="s">
        <v>395</v>
      </c>
      <c r="R293" s="20" t="s">
        <v>346</v>
      </c>
      <c r="S293" s="58" t="s">
        <v>712</v>
      </c>
      <c r="T293" s="59" t="s">
        <v>722</v>
      </c>
      <c r="U293" s="59" t="s">
        <v>720</v>
      </c>
      <c r="V293" s="78" t="s">
        <v>315</v>
      </c>
      <c r="W293" s="59" t="s">
        <v>815</v>
      </c>
      <c r="X293" s="59" t="s">
        <v>751</v>
      </c>
      <c r="Y293" s="20" t="s">
        <v>717</v>
      </c>
      <c r="Z293" s="71">
        <v>0</v>
      </c>
      <c r="AA293" s="71">
        <v>6</v>
      </c>
      <c r="AB293" s="71">
        <v>48</v>
      </c>
      <c r="AC293" s="71">
        <v>6</v>
      </c>
      <c r="AD293" s="71">
        <f t="shared" si="76"/>
        <v>48</v>
      </c>
      <c r="AE293" s="71">
        <v>6</v>
      </c>
      <c r="AF293" s="71">
        <f t="shared" si="77"/>
        <v>48</v>
      </c>
    </row>
    <row r="294" spans="2:32" s="57" customFormat="1" x14ac:dyDescent="0.2">
      <c r="B294" s="12">
        <f t="shared" si="75"/>
        <v>277</v>
      </c>
      <c r="C294" s="20" t="s">
        <v>16</v>
      </c>
      <c r="D294" s="20">
        <v>4400340</v>
      </c>
      <c r="E294" s="20" t="str">
        <f t="shared" si="74"/>
        <v>4400340</v>
      </c>
      <c r="F294" s="20" t="s">
        <v>11</v>
      </c>
      <c r="G294" s="20" t="s">
        <v>50</v>
      </c>
      <c r="H294" s="20" t="s">
        <v>417</v>
      </c>
      <c r="I294" s="20"/>
      <c r="J294" s="20" t="s">
        <v>316</v>
      </c>
      <c r="K294" s="20" t="s">
        <v>14</v>
      </c>
      <c r="L294" s="20"/>
      <c r="M294" s="20" t="s">
        <v>132</v>
      </c>
      <c r="N294" s="20">
        <v>8</v>
      </c>
      <c r="O294" s="20" t="s">
        <v>15</v>
      </c>
      <c r="P294" s="20"/>
      <c r="Q294" s="20" t="s">
        <v>395</v>
      </c>
      <c r="R294" s="20" t="s">
        <v>346</v>
      </c>
      <c r="S294" s="58" t="s">
        <v>712</v>
      </c>
      <c r="T294" s="59" t="s">
        <v>722</v>
      </c>
      <c r="U294" s="59" t="s">
        <v>720</v>
      </c>
      <c r="V294" s="78" t="s">
        <v>316</v>
      </c>
      <c r="W294" s="59" t="s">
        <v>815</v>
      </c>
      <c r="X294" s="59" t="s">
        <v>751</v>
      </c>
      <c r="Y294" s="20" t="s">
        <v>717</v>
      </c>
      <c r="Z294" s="71">
        <v>0</v>
      </c>
      <c r="AA294" s="71">
        <v>1100</v>
      </c>
      <c r="AB294" s="71">
        <v>8800</v>
      </c>
      <c r="AC294" s="71">
        <v>1100</v>
      </c>
      <c r="AD294" s="71">
        <f t="shared" si="76"/>
        <v>8800</v>
      </c>
      <c r="AE294" s="71">
        <v>1100</v>
      </c>
      <c r="AF294" s="71">
        <f t="shared" si="77"/>
        <v>8800</v>
      </c>
    </row>
    <row r="295" spans="2:32" s="57" customFormat="1" x14ac:dyDescent="0.2">
      <c r="B295" s="12">
        <f t="shared" si="75"/>
        <v>278</v>
      </c>
      <c r="C295" s="20" t="s">
        <v>16</v>
      </c>
      <c r="D295" s="20">
        <v>4400935</v>
      </c>
      <c r="E295" s="20" t="str">
        <f t="shared" si="74"/>
        <v>4400935</v>
      </c>
      <c r="F295" s="20" t="s">
        <v>11</v>
      </c>
      <c r="G295" s="20" t="s">
        <v>317</v>
      </c>
      <c r="H295" s="20" t="s">
        <v>489</v>
      </c>
      <c r="I295" s="20"/>
      <c r="J295" s="20" t="s">
        <v>318</v>
      </c>
      <c r="K295" s="20" t="s">
        <v>14</v>
      </c>
      <c r="L295" s="20"/>
      <c r="M295" s="20" t="s">
        <v>200</v>
      </c>
      <c r="N295" s="20">
        <v>6</v>
      </c>
      <c r="O295" s="20" t="s">
        <v>15</v>
      </c>
      <c r="P295" s="20"/>
      <c r="Q295" s="20" t="s">
        <v>395</v>
      </c>
      <c r="R295" s="20" t="s">
        <v>346</v>
      </c>
      <c r="S295" s="58" t="s">
        <v>712</v>
      </c>
      <c r="T295" s="59" t="s">
        <v>722</v>
      </c>
      <c r="U295" s="59" t="s">
        <v>720</v>
      </c>
      <c r="V295" s="78" t="s">
        <v>318</v>
      </c>
      <c r="W295" s="59" t="s">
        <v>815</v>
      </c>
      <c r="X295" s="59" t="s">
        <v>751</v>
      </c>
      <c r="Y295" s="20" t="s">
        <v>717</v>
      </c>
      <c r="Z295" s="71">
        <v>0</v>
      </c>
      <c r="AA295" s="71">
        <v>264</v>
      </c>
      <c r="AB295" s="71">
        <v>1584</v>
      </c>
      <c r="AC295" s="71">
        <v>264</v>
      </c>
      <c r="AD295" s="71">
        <f t="shared" si="76"/>
        <v>1584</v>
      </c>
      <c r="AE295" s="71">
        <v>264</v>
      </c>
      <c r="AF295" s="71">
        <f t="shared" si="77"/>
        <v>1584</v>
      </c>
    </row>
    <row r="296" spans="2:32" s="57" customFormat="1" x14ac:dyDescent="0.2">
      <c r="B296" s="12">
        <f t="shared" si="75"/>
        <v>279</v>
      </c>
      <c r="C296" s="20" t="s">
        <v>16</v>
      </c>
      <c r="D296" s="20">
        <v>4401050</v>
      </c>
      <c r="E296" s="20" t="str">
        <f t="shared" si="74"/>
        <v>4401050</v>
      </c>
      <c r="F296" s="20" t="s">
        <v>11</v>
      </c>
      <c r="G296" s="20" t="s">
        <v>319</v>
      </c>
      <c r="H296" s="20" t="s">
        <v>490</v>
      </c>
      <c r="I296" s="20"/>
      <c r="J296" s="20" t="s">
        <v>320</v>
      </c>
      <c r="K296" s="20" t="s">
        <v>14</v>
      </c>
      <c r="L296" s="20"/>
      <c r="M296" s="20" t="s">
        <v>18</v>
      </c>
      <c r="N296" s="20">
        <v>2</v>
      </c>
      <c r="O296" s="20" t="s">
        <v>15</v>
      </c>
      <c r="P296" s="20"/>
      <c r="Q296" s="20" t="s">
        <v>395</v>
      </c>
      <c r="R296" s="20" t="s">
        <v>346</v>
      </c>
      <c r="S296" s="58" t="s">
        <v>712</v>
      </c>
      <c r="T296" s="59" t="s">
        <v>722</v>
      </c>
      <c r="U296" s="59" t="s">
        <v>720</v>
      </c>
      <c r="V296" s="78" t="s">
        <v>320</v>
      </c>
      <c r="W296" s="59" t="s">
        <v>815</v>
      </c>
      <c r="X296" s="59" t="s">
        <v>751</v>
      </c>
      <c r="Y296" s="20" t="s">
        <v>717</v>
      </c>
      <c r="Z296" s="71">
        <v>0</v>
      </c>
      <c r="AA296" s="71">
        <v>156</v>
      </c>
      <c r="AB296" s="71">
        <v>312</v>
      </c>
      <c r="AC296" s="71">
        <v>156</v>
      </c>
      <c r="AD296" s="71">
        <f t="shared" si="76"/>
        <v>312</v>
      </c>
      <c r="AE296" s="71">
        <v>156</v>
      </c>
      <c r="AF296" s="71">
        <f t="shared" si="77"/>
        <v>312</v>
      </c>
    </row>
    <row r="297" spans="2:32" s="57" customFormat="1" x14ac:dyDescent="0.2">
      <c r="B297" s="12">
        <f t="shared" si="75"/>
        <v>280</v>
      </c>
      <c r="C297" s="20" t="s">
        <v>16</v>
      </c>
      <c r="D297" s="20" t="s">
        <v>349</v>
      </c>
      <c r="E297" s="20" t="str">
        <f t="shared" si="74"/>
        <v>44S0019</v>
      </c>
      <c r="F297" s="20" t="s">
        <v>11</v>
      </c>
      <c r="G297" s="20" t="s">
        <v>321</v>
      </c>
      <c r="H297" s="20" t="s">
        <v>483</v>
      </c>
      <c r="I297" s="20"/>
      <c r="J297" s="20" t="s">
        <v>322</v>
      </c>
      <c r="K297" s="20" t="s">
        <v>14</v>
      </c>
      <c r="L297" s="20"/>
      <c r="M297" s="20" t="s">
        <v>55</v>
      </c>
      <c r="N297" s="20">
        <v>4</v>
      </c>
      <c r="O297" s="20" t="s">
        <v>15</v>
      </c>
      <c r="P297" s="20"/>
      <c r="Q297" s="20" t="s">
        <v>395</v>
      </c>
      <c r="R297" s="20" t="s">
        <v>346</v>
      </c>
      <c r="S297" s="58" t="s">
        <v>712</v>
      </c>
      <c r="T297" s="59" t="s">
        <v>722</v>
      </c>
      <c r="U297" s="59" t="s">
        <v>720</v>
      </c>
      <c r="V297" s="78" t="s">
        <v>322</v>
      </c>
      <c r="W297" s="59" t="s">
        <v>815</v>
      </c>
      <c r="X297" s="59" t="s">
        <v>751</v>
      </c>
      <c r="Y297" s="20" t="s">
        <v>717</v>
      </c>
      <c r="Z297" s="71">
        <v>0</v>
      </c>
      <c r="AA297" s="71">
        <v>6</v>
      </c>
      <c r="AB297" s="71">
        <v>24</v>
      </c>
      <c r="AC297" s="71">
        <v>6</v>
      </c>
      <c r="AD297" s="71">
        <f t="shared" si="76"/>
        <v>24</v>
      </c>
      <c r="AE297" s="71">
        <v>6</v>
      </c>
      <c r="AF297" s="71">
        <f t="shared" si="77"/>
        <v>24</v>
      </c>
    </row>
    <row r="298" spans="2:32" s="57" customFormat="1" x14ac:dyDescent="0.2">
      <c r="B298" s="12">
        <f t="shared" si="75"/>
        <v>281</v>
      </c>
      <c r="C298" s="20" t="s">
        <v>16</v>
      </c>
      <c r="D298" s="20">
        <v>4500056</v>
      </c>
      <c r="E298" s="20" t="str">
        <f t="shared" si="74"/>
        <v>4500056</v>
      </c>
      <c r="F298" s="20" t="s">
        <v>11</v>
      </c>
      <c r="G298" s="20" t="s">
        <v>186</v>
      </c>
      <c r="H298" s="20" t="s">
        <v>456</v>
      </c>
      <c r="I298" s="20"/>
      <c r="J298" s="20" t="s">
        <v>323</v>
      </c>
      <c r="K298" s="20" t="s">
        <v>14</v>
      </c>
      <c r="L298" s="20"/>
      <c r="M298" s="20" t="s">
        <v>200</v>
      </c>
      <c r="N298" s="20">
        <v>6</v>
      </c>
      <c r="O298" s="20" t="s">
        <v>15</v>
      </c>
      <c r="P298" s="20"/>
      <c r="Q298" s="20" t="s">
        <v>395</v>
      </c>
      <c r="R298" s="20" t="s">
        <v>346</v>
      </c>
      <c r="S298" s="58" t="s">
        <v>712</v>
      </c>
      <c r="T298" s="59" t="s">
        <v>722</v>
      </c>
      <c r="U298" s="59" t="s">
        <v>720</v>
      </c>
      <c r="V298" s="78" t="s">
        <v>323</v>
      </c>
      <c r="W298" s="59" t="s">
        <v>815</v>
      </c>
      <c r="X298" s="59" t="s">
        <v>751</v>
      </c>
      <c r="Y298" s="20" t="s">
        <v>717</v>
      </c>
      <c r="Z298" s="71">
        <v>0</v>
      </c>
      <c r="AA298" s="71">
        <v>204</v>
      </c>
      <c r="AB298" s="71">
        <v>1224</v>
      </c>
      <c r="AC298" s="71">
        <v>204</v>
      </c>
      <c r="AD298" s="71">
        <f t="shared" si="76"/>
        <v>1224</v>
      </c>
      <c r="AE298" s="71">
        <v>204</v>
      </c>
      <c r="AF298" s="71">
        <f t="shared" si="77"/>
        <v>1224</v>
      </c>
    </row>
    <row r="299" spans="2:32" s="57" customFormat="1" x14ac:dyDescent="0.2">
      <c r="B299" s="12">
        <f t="shared" si="75"/>
        <v>282</v>
      </c>
      <c r="C299" s="20" t="s">
        <v>16</v>
      </c>
      <c r="D299" s="20">
        <v>4500089</v>
      </c>
      <c r="E299" s="20" t="str">
        <f t="shared" si="74"/>
        <v>4500089</v>
      </c>
      <c r="F299" s="20" t="s">
        <v>11</v>
      </c>
      <c r="G299" s="20" t="s">
        <v>146</v>
      </c>
      <c r="H299" s="20" t="s">
        <v>444</v>
      </c>
      <c r="I299" s="20"/>
      <c r="J299" s="20" t="s">
        <v>324</v>
      </c>
      <c r="K299" s="20" t="s">
        <v>14</v>
      </c>
      <c r="L299" s="20"/>
      <c r="M299" s="20" t="s">
        <v>18</v>
      </c>
      <c r="N299" s="20">
        <v>2</v>
      </c>
      <c r="O299" s="20" t="s">
        <v>15</v>
      </c>
      <c r="P299" s="20"/>
      <c r="Q299" s="20" t="s">
        <v>395</v>
      </c>
      <c r="R299" s="20" t="s">
        <v>346</v>
      </c>
      <c r="S299" s="58" t="s">
        <v>712</v>
      </c>
      <c r="T299" s="59" t="s">
        <v>722</v>
      </c>
      <c r="U299" s="59" t="s">
        <v>720</v>
      </c>
      <c r="V299" s="78" t="s">
        <v>324</v>
      </c>
      <c r="W299" s="59" t="s">
        <v>815</v>
      </c>
      <c r="X299" s="59" t="s">
        <v>751</v>
      </c>
      <c r="Y299" s="20" t="s">
        <v>717</v>
      </c>
      <c r="Z299" s="71">
        <v>0</v>
      </c>
      <c r="AA299" s="71">
        <v>347</v>
      </c>
      <c r="AB299" s="71">
        <v>694</v>
      </c>
      <c r="AC299" s="71">
        <v>347</v>
      </c>
      <c r="AD299" s="71">
        <f t="shared" si="76"/>
        <v>694</v>
      </c>
      <c r="AE299" s="71">
        <v>347</v>
      </c>
      <c r="AF299" s="71">
        <f t="shared" si="77"/>
        <v>694</v>
      </c>
    </row>
    <row r="300" spans="2:32" s="57" customFormat="1" x14ac:dyDescent="0.2">
      <c r="B300" s="12">
        <f t="shared" si="75"/>
        <v>283</v>
      </c>
      <c r="C300" s="20" t="s">
        <v>16</v>
      </c>
      <c r="D300" s="20">
        <v>4600075</v>
      </c>
      <c r="E300" s="20" t="str">
        <f t="shared" si="74"/>
        <v>4600075</v>
      </c>
      <c r="F300" s="20" t="s">
        <v>11</v>
      </c>
      <c r="G300" s="20" t="s">
        <v>325</v>
      </c>
      <c r="H300" s="20" t="s">
        <v>491</v>
      </c>
      <c r="I300" s="20"/>
      <c r="J300" s="20" t="s">
        <v>326</v>
      </c>
      <c r="K300" s="20" t="s">
        <v>14</v>
      </c>
      <c r="L300" s="20"/>
      <c r="M300" s="20" t="s">
        <v>55</v>
      </c>
      <c r="N300" s="20">
        <v>4</v>
      </c>
      <c r="O300" s="20" t="s">
        <v>15</v>
      </c>
      <c r="P300" s="20"/>
      <c r="Q300" s="20" t="s">
        <v>395</v>
      </c>
      <c r="R300" s="20" t="s">
        <v>346</v>
      </c>
      <c r="S300" s="58" t="s">
        <v>712</v>
      </c>
      <c r="T300" s="59" t="s">
        <v>722</v>
      </c>
      <c r="U300" s="59" t="s">
        <v>720</v>
      </c>
      <c r="V300" s="78" t="s">
        <v>326</v>
      </c>
      <c r="W300" s="59" t="s">
        <v>815</v>
      </c>
      <c r="X300" s="59" t="s">
        <v>751</v>
      </c>
      <c r="Y300" s="20" t="s">
        <v>717</v>
      </c>
      <c r="Z300" s="71">
        <v>0</v>
      </c>
      <c r="AA300" s="71">
        <v>4</v>
      </c>
      <c r="AB300" s="71">
        <v>16</v>
      </c>
      <c r="AC300" s="71">
        <v>4</v>
      </c>
      <c r="AD300" s="71">
        <f t="shared" si="76"/>
        <v>16</v>
      </c>
      <c r="AE300" s="71">
        <v>4</v>
      </c>
      <c r="AF300" s="71">
        <f t="shared" si="77"/>
        <v>16</v>
      </c>
    </row>
    <row r="301" spans="2:32" s="57" customFormat="1" x14ac:dyDescent="0.2">
      <c r="B301" s="12">
        <f t="shared" si="75"/>
        <v>284</v>
      </c>
      <c r="C301" s="20" t="s">
        <v>16</v>
      </c>
      <c r="D301" s="20">
        <v>5000471</v>
      </c>
      <c r="E301" s="20" t="str">
        <f t="shared" si="74"/>
        <v>5000471</v>
      </c>
      <c r="F301" s="20" t="s">
        <v>11</v>
      </c>
      <c r="G301" s="20" t="s">
        <v>180</v>
      </c>
      <c r="H301" s="20" t="s">
        <v>453</v>
      </c>
      <c r="I301" s="20"/>
      <c r="J301" s="20" t="s">
        <v>181</v>
      </c>
      <c r="K301" s="20" t="s">
        <v>14</v>
      </c>
      <c r="L301" s="20"/>
      <c r="M301" s="20" t="s">
        <v>327</v>
      </c>
      <c r="N301" s="20">
        <v>9</v>
      </c>
      <c r="O301" s="20" t="s">
        <v>15</v>
      </c>
      <c r="P301" s="20"/>
      <c r="Q301" s="20" t="s">
        <v>395</v>
      </c>
      <c r="R301" s="20" t="s">
        <v>346</v>
      </c>
      <c r="S301" s="58" t="s">
        <v>774</v>
      </c>
      <c r="T301" s="59" t="s">
        <v>722</v>
      </c>
      <c r="U301" s="59" t="s">
        <v>720</v>
      </c>
      <c r="V301" s="78" t="s">
        <v>887</v>
      </c>
      <c r="W301" s="59" t="s">
        <v>811</v>
      </c>
      <c r="X301" s="59" t="s">
        <v>712</v>
      </c>
      <c r="Y301" s="20" t="s">
        <v>717</v>
      </c>
      <c r="Z301" s="71">
        <v>0</v>
      </c>
      <c r="AA301" s="71">
        <v>0</v>
      </c>
      <c r="AB301" s="71">
        <v>0</v>
      </c>
      <c r="AC301" s="71">
        <v>0</v>
      </c>
      <c r="AD301" s="71">
        <v>0</v>
      </c>
      <c r="AE301" s="71">
        <v>0</v>
      </c>
      <c r="AF301" s="71">
        <v>0</v>
      </c>
    </row>
    <row r="302" spans="2:32" s="57" customFormat="1" x14ac:dyDescent="0.2">
      <c r="B302" s="12">
        <f t="shared" si="75"/>
        <v>285</v>
      </c>
      <c r="C302" s="20" t="s">
        <v>16</v>
      </c>
      <c r="D302" s="20">
        <v>5000473</v>
      </c>
      <c r="E302" s="20" t="str">
        <f t="shared" si="74"/>
        <v>5000473</v>
      </c>
      <c r="F302" s="20" t="s">
        <v>11</v>
      </c>
      <c r="G302" s="20" t="s">
        <v>328</v>
      </c>
      <c r="H302" s="20" t="s">
        <v>492</v>
      </c>
      <c r="I302" s="20"/>
      <c r="J302" s="20" t="s">
        <v>329</v>
      </c>
      <c r="K302" s="20" t="s">
        <v>14</v>
      </c>
      <c r="L302" s="20"/>
      <c r="M302" s="20" t="s">
        <v>200</v>
      </c>
      <c r="N302" s="20">
        <v>6</v>
      </c>
      <c r="O302" s="20" t="s">
        <v>15</v>
      </c>
      <c r="P302" s="20"/>
      <c r="Q302" s="20" t="s">
        <v>395</v>
      </c>
      <c r="R302" s="20" t="s">
        <v>346</v>
      </c>
      <c r="S302" s="58" t="s">
        <v>774</v>
      </c>
      <c r="T302" s="59" t="s">
        <v>722</v>
      </c>
      <c r="U302" s="59" t="s">
        <v>720</v>
      </c>
      <c r="V302" s="78" t="s">
        <v>888</v>
      </c>
      <c r="W302" s="59" t="s">
        <v>811</v>
      </c>
      <c r="X302" s="59" t="s">
        <v>894</v>
      </c>
      <c r="Y302" s="20" t="s">
        <v>717</v>
      </c>
      <c r="Z302" s="71">
        <v>0</v>
      </c>
      <c r="AA302" s="71">
        <v>52</v>
      </c>
      <c r="AB302" s="71">
        <v>312</v>
      </c>
      <c r="AC302" s="71">
        <v>52</v>
      </c>
      <c r="AD302" s="71">
        <f t="shared" ref="AD302:AD303" si="78">$AC302*$N302</f>
        <v>312</v>
      </c>
      <c r="AE302" s="71">
        <v>52</v>
      </c>
      <c r="AF302" s="71">
        <f t="shared" ref="AF302:AF303" si="79">$AE302*$N302</f>
        <v>312</v>
      </c>
    </row>
    <row r="303" spans="2:32" s="57" customFormat="1" ht="27" x14ac:dyDescent="0.2">
      <c r="B303" s="12">
        <f t="shared" si="75"/>
        <v>286</v>
      </c>
      <c r="C303" s="20" t="s">
        <v>16</v>
      </c>
      <c r="D303" s="20">
        <v>5000604</v>
      </c>
      <c r="E303" s="20" t="str">
        <f t="shared" si="74"/>
        <v>5000604</v>
      </c>
      <c r="F303" s="20" t="s">
        <v>11</v>
      </c>
      <c r="G303" s="20" t="s">
        <v>23</v>
      </c>
      <c r="H303" s="20" t="s">
        <v>410</v>
      </c>
      <c r="I303" s="20"/>
      <c r="J303" s="20" t="s">
        <v>351</v>
      </c>
      <c r="K303" s="20" t="s">
        <v>14</v>
      </c>
      <c r="L303" s="20"/>
      <c r="M303" s="20" t="s">
        <v>330</v>
      </c>
      <c r="N303" s="20">
        <v>15</v>
      </c>
      <c r="O303" s="20" t="s">
        <v>15</v>
      </c>
      <c r="P303" s="20"/>
      <c r="Q303" s="20" t="s">
        <v>395</v>
      </c>
      <c r="R303" s="20" t="s">
        <v>346</v>
      </c>
      <c r="S303" s="58" t="s">
        <v>774</v>
      </c>
      <c r="T303" s="59" t="s">
        <v>721</v>
      </c>
      <c r="U303" s="59" t="s">
        <v>720</v>
      </c>
      <c r="V303" s="78" t="s">
        <v>1024</v>
      </c>
      <c r="W303" s="59" t="s">
        <v>892</v>
      </c>
      <c r="X303" s="59" t="s">
        <v>751</v>
      </c>
      <c r="Y303" s="20" t="s">
        <v>717</v>
      </c>
      <c r="Z303" s="71">
        <v>0</v>
      </c>
      <c r="AA303" s="71">
        <v>55</v>
      </c>
      <c r="AB303" s="71">
        <v>825</v>
      </c>
      <c r="AC303" s="71">
        <v>55</v>
      </c>
      <c r="AD303" s="71">
        <f t="shared" si="78"/>
        <v>825</v>
      </c>
      <c r="AE303" s="71">
        <v>55</v>
      </c>
      <c r="AF303" s="71">
        <f t="shared" si="79"/>
        <v>825</v>
      </c>
    </row>
    <row r="304" spans="2:32" s="57" customFormat="1" ht="40.5" x14ac:dyDescent="0.2">
      <c r="B304" s="12">
        <f t="shared" si="75"/>
        <v>287</v>
      </c>
      <c r="C304" s="20" t="s">
        <v>16</v>
      </c>
      <c r="D304" s="20">
        <v>7500021</v>
      </c>
      <c r="E304" s="20" t="str">
        <f t="shared" si="74"/>
        <v>7500021</v>
      </c>
      <c r="F304" s="20" t="s">
        <v>11</v>
      </c>
      <c r="G304" s="20" t="s">
        <v>264</v>
      </c>
      <c r="H304" s="20" t="s">
        <v>472</v>
      </c>
      <c r="I304" s="20"/>
      <c r="J304" s="20" t="s">
        <v>265</v>
      </c>
      <c r="K304" s="20" t="s">
        <v>14</v>
      </c>
      <c r="L304" s="20"/>
      <c r="M304" s="20" t="s">
        <v>331</v>
      </c>
      <c r="N304" s="20">
        <v>36</v>
      </c>
      <c r="O304" s="20" t="s">
        <v>15</v>
      </c>
      <c r="P304" s="20"/>
      <c r="Q304" s="20" t="s">
        <v>395</v>
      </c>
      <c r="R304" s="20" t="s">
        <v>346</v>
      </c>
      <c r="S304" s="58" t="s">
        <v>866</v>
      </c>
      <c r="T304" s="59" t="s">
        <v>721</v>
      </c>
      <c r="U304" s="59" t="s">
        <v>720</v>
      </c>
      <c r="V304" s="78" t="s">
        <v>947</v>
      </c>
      <c r="W304" s="59" t="s">
        <v>838</v>
      </c>
      <c r="X304" s="59" t="s">
        <v>895</v>
      </c>
      <c r="Y304" s="20" t="s">
        <v>717</v>
      </c>
      <c r="Z304" s="71">
        <v>0</v>
      </c>
      <c r="AA304" s="71">
        <v>265</v>
      </c>
      <c r="AB304" s="71">
        <v>0</v>
      </c>
      <c r="AC304" s="71">
        <v>265</v>
      </c>
      <c r="AD304" s="71">
        <v>0</v>
      </c>
      <c r="AE304" s="71">
        <v>265</v>
      </c>
      <c r="AF304" s="71">
        <v>0</v>
      </c>
    </row>
    <row r="305" spans="2:32" s="57" customFormat="1" x14ac:dyDescent="0.2">
      <c r="B305" s="12">
        <f t="shared" si="75"/>
        <v>288</v>
      </c>
      <c r="C305" s="20" t="s">
        <v>16</v>
      </c>
      <c r="D305" s="20">
        <v>7500100</v>
      </c>
      <c r="E305" s="20" t="str">
        <f t="shared" si="74"/>
        <v>7500100</v>
      </c>
      <c r="F305" s="20" t="s">
        <v>11</v>
      </c>
      <c r="G305" s="20" t="s">
        <v>332</v>
      </c>
      <c r="H305" s="20" t="s">
        <v>493</v>
      </c>
      <c r="I305" s="20"/>
      <c r="J305" s="20" t="s">
        <v>333</v>
      </c>
      <c r="K305" s="20" t="s">
        <v>14</v>
      </c>
      <c r="L305" s="20"/>
      <c r="M305" s="20" t="s">
        <v>334</v>
      </c>
      <c r="N305" s="20">
        <v>65</v>
      </c>
      <c r="O305" s="20" t="s">
        <v>15</v>
      </c>
      <c r="P305" s="20"/>
      <c r="Q305" s="20" t="s">
        <v>395</v>
      </c>
      <c r="R305" s="20" t="s">
        <v>346</v>
      </c>
      <c r="S305" s="58" t="s">
        <v>867</v>
      </c>
      <c r="T305" s="59" t="s">
        <v>836</v>
      </c>
      <c r="U305" s="59" t="s">
        <v>718</v>
      </c>
      <c r="V305" s="78" t="s">
        <v>949</v>
      </c>
      <c r="W305" s="59" t="s">
        <v>811</v>
      </c>
      <c r="X305" s="59" t="s">
        <v>751</v>
      </c>
      <c r="Y305" s="20" t="s">
        <v>717</v>
      </c>
      <c r="Z305" s="71">
        <v>638</v>
      </c>
      <c r="AA305" s="71">
        <v>1520</v>
      </c>
      <c r="AB305" s="71">
        <v>98800</v>
      </c>
      <c r="AC305" s="71">
        <v>1520</v>
      </c>
      <c r="AD305" s="71">
        <f t="shared" ref="AD305:AD308" si="80">$AC305*$N305</f>
        <v>98800</v>
      </c>
      <c r="AE305" s="71">
        <v>1520</v>
      </c>
      <c r="AF305" s="71">
        <f t="shared" ref="AF305:AF308" si="81">$AE305*$N305</f>
        <v>98800</v>
      </c>
    </row>
    <row r="306" spans="2:32" s="57" customFormat="1" x14ac:dyDescent="0.2">
      <c r="B306" s="12">
        <f t="shared" si="75"/>
        <v>289</v>
      </c>
      <c r="C306" s="20" t="s">
        <v>16</v>
      </c>
      <c r="D306" s="20">
        <v>7500158</v>
      </c>
      <c r="E306" s="20" t="str">
        <f t="shared" si="74"/>
        <v>7500158</v>
      </c>
      <c r="F306" s="20" t="s">
        <v>11</v>
      </c>
      <c r="G306" s="20" t="s">
        <v>335</v>
      </c>
      <c r="H306" s="20" t="s">
        <v>494</v>
      </c>
      <c r="I306" s="20"/>
      <c r="J306" s="20" t="s">
        <v>336</v>
      </c>
      <c r="K306" s="20" t="s">
        <v>14</v>
      </c>
      <c r="L306" s="20"/>
      <c r="M306" s="20" t="s">
        <v>337</v>
      </c>
      <c r="N306" s="20">
        <v>80</v>
      </c>
      <c r="O306" s="20" t="s">
        <v>15</v>
      </c>
      <c r="P306" s="20"/>
      <c r="Q306" s="20" t="s">
        <v>395</v>
      </c>
      <c r="R306" s="20" t="s">
        <v>346</v>
      </c>
      <c r="S306" s="58" t="s">
        <v>868</v>
      </c>
      <c r="T306" s="59" t="s">
        <v>836</v>
      </c>
      <c r="U306" s="59" t="s">
        <v>718</v>
      </c>
      <c r="V306" s="78" t="s">
        <v>950</v>
      </c>
      <c r="W306" s="59" t="s">
        <v>838</v>
      </c>
      <c r="X306" s="59" t="s">
        <v>751</v>
      </c>
      <c r="Y306" s="20" t="s">
        <v>717</v>
      </c>
      <c r="Z306" s="71">
        <v>0</v>
      </c>
      <c r="AA306" s="71">
        <v>1585</v>
      </c>
      <c r="AB306" s="71">
        <v>126800</v>
      </c>
      <c r="AC306" s="71">
        <v>1585</v>
      </c>
      <c r="AD306" s="71">
        <f t="shared" si="80"/>
        <v>126800</v>
      </c>
      <c r="AE306" s="71">
        <v>1585</v>
      </c>
      <c r="AF306" s="71">
        <f t="shared" si="81"/>
        <v>126800</v>
      </c>
    </row>
    <row r="307" spans="2:32" s="57" customFormat="1" x14ac:dyDescent="0.2">
      <c r="B307" s="12">
        <f t="shared" si="75"/>
        <v>290</v>
      </c>
      <c r="C307" s="20" t="s">
        <v>16</v>
      </c>
      <c r="D307" s="20">
        <v>7500207</v>
      </c>
      <c r="E307" s="20" t="str">
        <f t="shared" si="74"/>
        <v>7500207</v>
      </c>
      <c r="F307" s="20" t="s">
        <v>11</v>
      </c>
      <c r="G307" s="20" t="s">
        <v>319</v>
      </c>
      <c r="H307" s="20" t="s">
        <v>490</v>
      </c>
      <c r="I307" s="20"/>
      <c r="J307" s="20" t="s">
        <v>386</v>
      </c>
      <c r="K307" s="20" t="s">
        <v>14</v>
      </c>
      <c r="L307" s="20"/>
      <c r="M307" s="20" t="s">
        <v>338</v>
      </c>
      <c r="N307" s="20">
        <v>20</v>
      </c>
      <c r="O307" s="20" t="s">
        <v>15</v>
      </c>
      <c r="P307" s="20"/>
      <c r="Q307" s="20" t="s">
        <v>395</v>
      </c>
      <c r="R307" s="20" t="s">
        <v>346</v>
      </c>
      <c r="S307" s="58" t="s">
        <v>850</v>
      </c>
      <c r="T307" s="59" t="s">
        <v>836</v>
      </c>
      <c r="U307" s="59" t="s">
        <v>719</v>
      </c>
      <c r="V307" s="78" t="s">
        <v>951</v>
      </c>
      <c r="W307" s="59" t="s">
        <v>811</v>
      </c>
      <c r="X307" s="59" t="s">
        <v>712</v>
      </c>
      <c r="Y307" s="20" t="s">
        <v>717</v>
      </c>
      <c r="Z307" s="71">
        <v>0</v>
      </c>
      <c r="AA307" s="71">
        <v>0.39</v>
      </c>
      <c r="AB307" s="71">
        <v>11310.000000000002</v>
      </c>
      <c r="AC307" s="71">
        <v>4678</v>
      </c>
      <c r="AD307" s="71">
        <f t="shared" si="80"/>
        <v>93560</v>
      </c>
      <c r="AE307" s="71">
        <v>4678</v>
      </c>
      <c r="AF307" s="71">
        <f t="shared" si="81"/>
        <v>93560</v>
      </c>
    </row>
    <row r="308" spans="2:32" s="57" customFormat="1" x14ac:dyDescent="0.2">
      <c r="B308" s="12">
        <f t="shared" si="75"/>
        <v>291</v>
      </c>
      <c r="C308" s="20" t="s">
        <v>16</v>
      </c>
      <c r="D308" s="20" t="s">
        <v>350</v>
      </c>
      <c r="E308" s="20" t="str">
        <f t="shared" si="74"/>
        <v>7641-0001-0306</v>
      </c>
      <c r="F308" s="20" t="s">
        <v>11</v>
      </c>
      <c r="G308" s="20" t="s">
        <v>300</v>
      </c>
      <c r="H308" s="20" t="s">
        <v>482</v>
      </c>
      <c r="I308" s="20"/>
      <c r="J308" s="20" t="s">
        <v>339</v>
      </c>
      <c r="K308" s="20" t="s">
        <v>14</v>
      </c>
      <c r="L308" s="20"/>
      <c r="M308" s="20" t="s">
        <v>331</v>
      </c>
      <c r="N308" s="20">
        <v>36</v>
      </c>
      <c r="O308" s="20" t="s">
        <v>15</v>
      </c>
      <c r="P308" s="20"/>
      <c r="Q308" s="20" t="s">
        <v>395</v>
      </c>
      <c r="R308" s="20" t="s">
        <v>346</v>
      </c>
      <c r="S308" s="58" t="s">
        <v>868</v>
      </c>
      <c r="T308" s="59" t="s">
        <v>836</v>
      </c>
      <c r="U308" s="59" t="s">
        <v>712</v>
      </c>
      <c r="V308" s="78" t="s">
        <v>965</v>
      </c>
      <c r="W308" s="59" t="s">
        <v>838</v>
      </c>
      <c r="X308" s="59" t="s">
        <v>751</v>
      </c>
      <c r="Y308" s="20" t="s">
        <v>717</v>
      </c>
      <c r="Z308" s="71">
        <v>0</v>
      </c>
      <c r="AA308" s="71">
        <v>265</v>
      </c>
      <c r="AB308" s="71">
        <v>9540</v>
      </c>
      <c r="AC308" s="71">
        <v>265</v>
      </c>
      <c r="AD308" s="71">
        <f t="shared" si="80"/>
        <v>9540</v>
      </c>
      <c r="AE308" s="71">
        <v>265</v>
      </c>
      <c r="AF308" s="71">
        <f t="shared" si="81"/>
        <v>9540</v>
      </c>
    </row>
    <row r="309" spans="2:32" s="57" customFormat="1" x14ac:dyDescent="0.2">
      <c r="B309" s="12">
        <f t="shared" si="75"/>
        <v>292</v>
      </c>
      <c r="C309" s="20" t="s">
        <v>16</v>
      </c>
      <c r="D309" s="20">
        <v>900000755</v>
      </c>
      <c r="E309" s="20" t="str">
        <f t="shared" si="74"/>
        <v>900000755</v>
      </c>
      <c r="F309" s="20" t="s">
        <v>11</v>
      </c>
      <c r="G309" s="20" t="s">
        <v>253</v>
      </c>
      <c r="H309" s="20" t="s">
        <v>469</v>
      </c>
      <c r="I309" s="20"/>
      <c r="J309" s="20" t="s">
        <v>254</v>
      </c>
      <c r="K309" s="20" t="s">
        <v>14</v>
      </c>
      <c r="L309" s="20"/>
      <c r="M309" s="20" t="s">
        <v>25</v>
      </c>
      <c r="N309" s="20">
        <v>0</v>
      </c>
      <c r="O309" s="20" t="s">
        <v>15</v>
      </c>
      <c r="P309" s="20"/>
      <c r="Q309" s="20" t="s">
        <v>395</v>
      </c>
      <c r="R309" s="20" t="s">
        <v>346</v>
      </c>
      <c r="S309" s="58" t="s">
        <v>774</v>
      </c>
      <c r="T309" s="59" t="s">
        <v>722</v>
      </c>
      <c r="U309" s="59" t="s">
        <v>720</v>
      </c>
      <c r="V309" s="78" t="s">
        <v>742</v>
      </c>
      <c r="W309" s="59" t="s">
        <v>727</v>
      </c>
      <c r="X309" s="59" t="s">
        <v>846</v>
      </c>
      <c r="Y309" s="20" t="s">
        <v>717</v>
      </c>
      <c r="Z309" s="71">
        <v>0</v>
      </c>
      <c r="AA309" s="71">
        <v>580</v>
      </c>
      <c r="AB309" s="71">
        <v>0</v>
      </c>
      <c r="AC309" s="71">
        <v>580</v>
      </c>
      <c r="AD309" s="71">
        <v>0</v>
      </c>
      <c r="AE309" s="71">
        <v>580</v>
      </c>
      <c r="AF309" s="71">
        <v>0</v>
      </c>
    </row>
    <row r="310" spans="2:32" s="57" customFormat="1" ht="27" x14ac:dyDescent="0.2">
      <c r="B310" s="12">
        <f t="shared" si="75"/>
        <v>293</v>
      </c>
      <c r="C310" s="20" t="s">
        <v>16</v>
      </c>
      <c r="D310" s="20">
        <v>900001200</v>
      </c>
      <c r="E310" s="20" t="str">
        <f t="shared" si="74"/>
        <v>900001200</v>
      </c>
      <c r="F310" s="20" t="s">
        <v>11</v>
      </c>
      <c r="G310" s="20" t="s">
        <v>39</v>
      </c>
      <c r="H310" s="20" t="s">
        <v>442</v>
      </c>
      <c r="I310" s="20"/>
      <c r="J310" s="20" t="s">
        <v>340</v>
      </c>
      <c r="K310" s="20" t="s">
        <v>14</v>
      </c>
      <c r="L310" s="20"/>
      <c r="M310" s="20" t="s">
        <v>21</v>
      </c>
      <c r="N310" s="20">
        <v>1</v>
      </c>
      <c r="O310" s="20" t="s">
        <v>38</v>
      </c>
      <c r="P310" s="20"/>
      <c r="Q310" s="20" t="s">
        <v>394</v>
      </c>
      <c r="R310" s="20" t="s">
        <v>360</v>
      </c>
      <c r="S310" s="58" t="s">
        <v>869</v>
      </c>
      <c r="T310" s="59" t="s">
        <v>726</v>
      </c>
      <c r="U310" s="59" t="s">
        <v>712</v>
      </c>
      <c r="V310" s="78" t="s">
        <v>889</v>
      </c>
      <c r="W310" s="59" t="s">
        <v>712</v>
      </c>
      <c r="X310" s="59" t="s">
        <v>854</v>
      </c>
      <c r="Y310" s="20" t="s">
        <v>843</v>
      </c>
      <c r="Z310" s="71">
        <v>0</v>
      </c>
      <c r="AA310" s="71">
        <v>2.19</v>
      </c>
      <c r="AB310" s="71">
        <v>3175.5</v>
      </c>
      <c r="AC310" s="71">
        <v>2.19</v>
      </c>
      <c r="AD310" s="87">
        <f>($Y$1*$AC310)*$N310</f>
        <v>2969.64</v>
      </c>
      <c r="AE310" s="71">
        <v>2.19</v>
      </c>
      <c r="AF310" s="87">
        <f>($Y$1*$AC310)*$N310</f>
        <v>2969.64</v>
      </c>
    </row>
    <row r="311" spans="2:32" s="57" customFormat="1" x14ac:dyDescent="0.2">
      <c r="B311" s="12">
        <f t="shared" si="75"/>
        <v>294</v>
      </c>
      <c r="C311" s="20" t="s">
        <v>16</v>
      </c>
      <c r="D311" s="20">
        <v>900001259</v>
      </c>
      <c r="E311" s="20" t="str">
        <f t="shared" si="74"/>
        <v>900001259</v>
      </c>
      <c r="F311" s="20" t="s">
        <v>11</v>
      </c>
      <c r="G311" s="20" t="s">
        <v>255</v>
      </c>
      <c r="H311" s="20" t="s">
        <v>470</v>
      </c>
      <c r="I311" s="20"/>
      <c r="J311" s="20" t="s">
        <v>256</v>
      </c>
      <c r="K311" s="20" t="s">
        <v>14</v>
      </c>
      <c r="L311" s="20"/>
      <c r="M311" s="20" t="s">
        <v>18</v>
      </c>
      <c r="N311" s="20">
        <v>2</v>
      </c>
      <c r="O311" s="20" t="s">
        <v>15</v>
      </c>
      <c r="P311" s="20"/>
      <c r="Q311" s="20" t="s">
        <v>395</v>
      </c>
      <c r="R311" s="20" t="s">
        <v>346</v>
      </c>
      <c r="S311" s="58" t="s">
        <v>774</v>
      </c>
      <c r="T311" s="59" t="s">
        <v>722</v>
      </c>
      <c r="U311" s="59" t="s">
        <v>720</v>
      </c>
      <c r="V311" s="78" t="s">
        <v>743</v>
      </c>
      <c r="W311" s="59" t="s">
        <v>727</v>
      </c>
      <c r="X311" s="59" t="s">
        <v>846</v>
      </c>
      <c r="Y311" s="20" t="s">
        <v>717</v>
      </c>
      <c r="Z311" s="71">
        <v>0</v>
      </c>
      <c r="AA311" s="71">
        <v>560</v>
      </c>
      <c r="AB311" s="71">
        <v>5600</v>
      </c>
      <c r="AC311" s="71">
        <v>560</v>
      </c>
      <c r="AD311" s="71">
        <f>$AC311*$N311</f>
        <v>1120</v>
      </c>
      <c r="AE311" s="71">
        <v>560</v>
      </c>
      <c r="AF311" s="71">
        <f>$AE311*$N311</f>
        <v>1120</v>
      </c>
    </row>
    <row r="312" spans="2:32" s="57" customFormat="1" x14ac:dyDescent="0.2">
      <c r="B312" s="12">
        <f t="shared" si="75"/>
        <v>295</v>
      </c>
      <c r="C312" s="20" t="s">
        <v>16</v>
      </c>
      <c r="D312" s="20">
        <v>9004416</v>
      </c>
      <c r="E312" s="20" t="str">
        <f t="shared" si="74"/>
        <v>9004416</v>
      </c>
      <c r="F312" s="20" t="s">
        <v>11</v>
      </c>
      <c r="G312" s="20" t="s">
        <v>120</v>
      </c>
      <c r="H312" s="20" t="s">
        <v>437</v>
      </c>
      <c r="I312" s="20"/>
      <c r="J312" s="20" t="s">
        <v>341</v>
      </c>
      <c r="K312" s="20" t="s">
        <v>14</v>
      </c>
      <c r="L312" s="20"/>
      <c r="M312" s="20" t="s">
        <v>25</v>
      </c>
      <c r="N312" s="20">
        <v>0</v>
      </c>
      <c r="O312" s="20" t="s">
        <v>15</v>
      </c>
      <c r="P312" s="20"/>
      <c r="Q312" s="20" t="s">
        <v>395</v>
      </c>
      <c r="R312" s="20" t="s">
        <v>346</v>
      </c>
      <c r="S312" s="58" t="s">
        <v>863</v>
      </c>
      <c r="T312" s="59" t="s">
        <v>836</v>
      </c>
      <c r="U312" s="59" t="s">
        <v>718</v>
      </c>
      <c r="V312" s="78">
        <v>91424</v>
      </c>
      <c r="W312" s="59" t="s">
        <v>891</v>
      </c>
      <c r="X312" s="59" t="s">
        <v>751</v>
      </c>
      <c r="Y312" s="20" t="s">
        <v>717</v>
      </c>
      <c r="Z312" s="71">
        <v>0</v>
      </c>
      <c r="AA312" s="71">
        <v>43000</v>
      </c>
      <c r="AB312" s="71">
        <v>0</v>
      </c>
      <c r="AC312" s="71">
        <v>43000</v>
      </c>
      <c r="AD312" s="71">
        <v>0</v>
      </c>
      <c r="AE312" s="71">
        <v>43000</v>
      </c>
      <c r="AF312" s="71">
        <v>0</v>
      </c>
    </row>
    <row r="313" spans="2:32" s="57" customFormat="1" x14ac:dyDescent="0.2">
      <c r="B313" s="12">
        <f t="shared" si="75"/>
        <v>296</v>
      </c>
      <c r="C313" s="20" t="s">
        <v>16</v>
      </c>
      <c r="D313" s="20">
        <v>9004417</v>
      </c>
      <c r="E313" s="20" t="str">
        <f t="shared" si="74"/>
        <v>9004417</v>
      </c>
      <c r="F313" s="20" t="s">
        <v>11</v>
      </c>
      <c r="G313" s="20" t="s">
        <v>207</v>
      </c>
      <c r="H313" s="20" t="s">
        <v>457</v>
      </c>
      <c r="I313" s="20"/>
      <c r="J313" s="20" t="s">
        <v>342</v>
      </c>
      <c r="K313" s="20" t="s">
        <v>14</v>
      </c>
      <c r="L313" s="20"/>
      <c r="M313" s="20" t="s">
        <v>25</v>
      </c>
      <c r="N313" s="20">
        <v>0</v>
      </c>
      <c r="O313" s="20" t="s">
        <v>15</v>
      </c>
      <c r="P313" s="20"/>
      <c r="Q313" s="20" t="s">
        <v>395</v>
      </c>
      <c r="R313" s="20" t="s">
        <v>346</v>
      </c>
      <c r="S313" s="58" t="s">
        <v>863</v>
      </c>
      <c r="T313" s="59" t="s">
        <v>836</v>
      </c>
      <c r="U313" s="59" t="s">
        <v>718</v>
      </c>
      <c r="V313" s="78">
        <v>91425</v>
      </c>
      <c r="W313" s="59" t="s">
        <v>891</v>
      </c>
      <c r="X313" s="59" t="s">
        <v>751</v>
      </c>
      <c r="Y313" s="20" t="s">
        <v>717</v>
      </c>
      <c r="Z313" s="71">
        <v>0</v>
      </c>
      <c r="AA313" s="71">
        <v>43000</v>
      </c>
      <c r="AB313" s="71">
        <v>0</v>
      </c>
      <c r="AC313" s="71">
        <v>43000</v>
      </c>
      <c r="AD313" s="71">
        <v>0</v>
      </c>
      <c r="AE313" s="71">
        <v>43000</v>
      </c>
      <c r="AF313" s="71">
        <v>0</v>
      </c>
    </row>
    <row r="314" spans="2:32" s="57" customFormat="1" x14ac:dyDescent="0.2">
      <c r="B314" s="12">
        <f t="shared" si="75"/>
        <v>297</v>
      </c>
      <c r="C314" s="20" t="s">
        <v>16</v>
      </c>
      <c r="D314" s="20">
        <v>9200106</v>
      </c>
      <c r="E314" s="20" t="str">
        <f t="shared" si="74"/>
        <v>9200106</v>
      </c>
      <c r="F314" s="20" t="s">
        <v>11</v>
      </c>
      <c r="G314" s="20" t="s">
        <v>113</v>
      </c>
      <c r="H314" s="20" t="s">
        <v>434</v>
      </c>
      <c r="I314" s="20"/>
      <c r="J314" s="20" t="s">
        <v>114</v>
      </c>
      <c r="K314" s="20" t="s">
        <v>14</v>
      </c>
      <c r="L314" s="20"/>
      <c r="M314" s="20" t="s">
        <v>25</v>
      </c>
      <c r="N314" s="20">
        <v>0</v>
      </c>
      <c r="O314" s="20" t="s">
        <v>15</v>
      </c>
      <c r="P314" s="20"/>
      <c r="Q314" s="20" t="s">
        <v>395</v>
      </c>
      <c r="R314" s="20" t="s">
        <v>346</v>
      </c>
      <c r="S314" s="58" t="s">
        <v>728</v>
      </c>
      <c r="T314" s="59" t="s">
        <v>738</v>
      </c>
      <c r="U314" s="59" t="s">
        <v>719</v>
      </c>
      <c r="V314" s="78" t="s">
        <v>824</v>
      </c>
      <c r="W314" s="59" t="s">
        <v>735</v>
      </c>
      <c r="X314" s="59" t="s">
        <v>842</v>
      </c>
      <c r="Y314" s="20" t="s">
        <v>717</v>
      </c>
      <c r="Z314" s="71">
        <v>0</v>
      </c>
      <c r="AA314" s="71">
        <v>28800</v>
      </c>
      <c r="AB314" s="71">
        <v>0</v>
      </c>
      <c r="AC314" s="71">
        <v>28800</v>
      </c>
      <c r="AD314" s="71">
        <v>0</v>
      </c>
      <c r="AE314" s="71">
        <v>28800</v>
      </c>
      <c r="AF314" s="71">
        <v>0</v>
      </c>
    </row>
    <row r="315" spans="2:32" s="57" customFormat="1" x14ac:dyDescent="0.2">
      <c r="B315" s="12"/>
      <c r="C315" s="20"/>
      <c r="D315" s="20"/>
      <c r="E315" s="3"/>
      <c r="F315" s="20"/>
      <c r="G315" s="20"/>
      <c r="H315" s="20"/>
      <c r="I315" s="20"/>
      <c r="J315" s="59" t="s">
        <v>1026</v>
      </c>
      <c r="K315" s="20"/>
      <c r="L315" s="20"/>
      <c r="M315" s="20"/>
      <c r="N315" s="20"/>
      <c r="O315" s="20"/>
      <c r="P315" s="20"/>
      <c r="Q315" s="20"/>
      <c r="R315" s="20"/>
      <c r="S315" s="59" t="s">
        <v>1027</v>
      </c>
      <c r="T315" s="59" t="s">
        <v>836</v>
      </c>
      <c r="U315" s="59"/>
      <c r="V315" s="59" t="s">
        <v>1026</v>
      </c>
      <c r="W315" s="59"/>
      <c r="X315" s="59"/>
      <c r="Y315" s="20"/>
      <c r="Z315" s="71"/>
      <c r="AA315" s="71">
        <v>615000</v>
      </c>
      <c r="AB315" s="71">
        <v>615000</v>
      </c>
      <c r="AC315" s="71">
        <v>615000</v>
      </c>
      <c r="AD315" s="71">
        <v>615000</v>
      </c>
      <c r="AE315" s="71">
        <v>615000</v>
      </c>
      <c r="AF315" s="71">
        <v>615000</v>
      </c>
    </row>
    <row r="317" spans="2:32" x14ac:dyDescent="0.25">
      <c r="Q317" s="65"/>
    </row>
    <row r="318" spans="2:32" x14ac:dyDescent="0.25">
      <c r="Q318" s="65"/>
    </row>
    <row r="319" spans="2:32" x14ac:dyDescent="0.25">
      <c r="B319" s="61"/>
      <c r="J319" s="89" t="s">
        <v>1055</v>
      </c>
      <c r="K319" s="90">
        <v>230</v>
      </c>
      <c r="L319" s="91"/>
      <c r="Q319" s="67"/>
      <c r="R319" s="67"/>
    </row>
    <row r="320" spans="2:32" x14ac:dyDescent="0.25">
      <c r="J320" s="89" t="s">
        <v>1056</v>
      </c>
      <c r="K320" s="92">
        <v>0.08</v>
      </c>
      <c r="L320" s="91"/>
      <c r="P320" s="68"/>
    </row>
    <row r="321" spans="10:12" x14ac:dyDescent="0.25">
      <c r="J321" s="93"/>
      <c r="K321" s="94"/>
      <c r="L321" s="95"/>
    </row>
    <row r="322" spans="10:12" x14ac:dyDescent="0.25">
      <c r="J322" s="89" t="s">
        <v>1057</v>
      </c>
      <c r="K322" s="90">
        <v>168.25</v>
      </c>
      <c r="L322" s="95" t="s">
        <v>1058</v>
      </c>
    </row>
    <row r="323" spans="10:12" x14ac:dyDescent="0.25">
      <c r="J323" s="93"/>
      <c r="K323" s="96">
        <v>82.04</v>
      </c>
      <c r="L323" s="95" t="s">
        <v>1059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J335"/>
  <sheetViews>
    <sheetView showGridLines="0" tabSelected="1" zoomScale="85" zoomScaleNormal="85" workbookViewId="0">
      <pane xSplit="10" ySplit="2" topLeftCell="V3" activePane="bottomRight" state="frozen"/>
      <selection pane="topRight" activeCell="F1" sqref="F1"/>
      <selection pane="bottomLeft" activeCell="A2" sqref="A2"/>
      <selection pane="bottomRight" activeCell="H1" sqref="H1"/>
    </sheetView>
  </sheetViews>
  <sheetFormatPr defaultRowHeight="13.5" x14ac:dyDescent="0.25"/>
  <cols>
    <col min="1" max="1" width="4.28515625" style="62" customWidth="1"/>
    <col min="2" max="2" width="7.85546875" style="63" customWidth="1"/>
    <col min="3" max="3" width="10.7109375" style="64" customWidth="1"/>
    <col min="4" max="5" width="16.42578125" style="64" bestFit="1" customWidth="1"/>
    <col min="6" max="6" width="15" style="64" customWidth="1"/>
    <col min="7" max="7" width="28.85546875" style="103" customWidth="1"/>
    <col min="8" max="8" width="20" style="66" customWidth="1"/>
    <col min="9" max="9" width="19.5703125" style="80" customWidth="1"/>
    <col min="10" max="10" width="14.5703125" style="80" customWidth="1"/>
    <col min="11" max="13" width="7" style="64" customWidth="1"/>
    <col min="14" max="14" width="17.85546875" style="62" customWidth="1"/>
    <col min="15" max="16" width="10.5703125" style="64" customWidth="1"/>
    <col min="17" max="17" width="15.140625" style="64" bestFit="1" customWidth="1"/>
    <col min="18" max="18" width="12.28515625" style="64" bestFit="1" customWidth="1"/>
    <col min="19" max="19" width="21.140625" style="64" customWidth="1"/>
    <col min="20" max="20" width="9.85546875" style="64" customWidth="1"/>
    <col min="21" max="21" width="11.140625" style="64" customWidth="1"/>
    <col min="22" max="22" width="8" style="64" customWidth="1"/>
    <col min="23" max="23" width="20" style="64" customWidth="1"/>
    <col min="24" max="24" width="17.5703125" style="62" customWidth="1"/>
    <col min="25" max="25" width="9.140625" style="64"/>
    <col min="26" max="26" width="10.7109375" style="74" bestFit="1" customWidth="1"/>
    <col min="27" max="27" width="10.7109375" style="74" customWidth="1"/>
    <col min="28" max="28" width="12.42578125" style="74" customWidth="1"/>
    <col min="29" max="29" width="10.7109375" style="74" bestFit="1" customWidth="1"/>
    <col min="30" max="30" width="13" style="111" customWidth="1"/>
    <col min="31" max="31" width="12" style="115" customWidth="1"/>
    <col min="32" max="32" width="11.85546875" style="62" bestFit="1" customWidth="1"/>
    <col min="33" max="33" width="12.5703125" style="62" bestFit="1" customWidth="1"/>
    <col min="34" max="35" width="9.140625" style="62"/>
    <col min="36" max="36" width="12.140625" style="62" customWidth="1"/>
    <col min="37" max="16384" width="9.140625" style="62"/>
  </cols>
  <sheetData>
    <row r="1" spans="2:36" x14ac:dyDescent="0.25">
      <c r="B1" s="13"/>
      <c r="C1" s="3"/>
      <c r="D1" s="3" t="s">
        <v>1065</v>
      </c>
      <c r="E1" s="3" t="s">
        <v>1183</v>
      </c>
      <c r="F1" s="3"/>
      <c r="G1" s="101"/>
      <c r="H1" s="44"/>
      <c r="I1" s="75"/>
      <c r="J1" s="75"/>
      <c r="K1" s="3"/>
      <c r="L1" s="3"/>
      <c r="M1" s="3" t="s">
        <v>1073</v>
      </c>
      <c r="N1" s="45"/>
      <c r="O1" s="3"/>
      <c r="P1" s="3"/>
      <c r="Q1" s="3"/>
      <c r="R1" s="3"/>
      <c r="S1" s="3"/>
      <c r="T1" s="3" t="s">
        <v>404</v>
      </c>
      <c r="U1" s="3"/>
      <c r="V1" s="120"/>
      <c r="W1" s="120"/>
      <c r="X1" s="98" t="s">
        <v>1060</v>
      </c>
      <c r="Y1" s="97">
        <v>1356</v>
      </c>
      <c r="Z1" s="69"/>
      <c r="AA1" s="69"/>
      <c r="AB1" s="69">
        <f>SUBTOTAL(9,AB3:AB1048576)</f>
        <v>28757363.199999999</v>
      </c>
      <c r="AC1" s="69"/>
      <c r="AD1" s="106">
        <f>SUBTOTAL(9,AD3:AD1048576)</f>
        <v>25577648.040000003</v>
      </c>
      <c r="AF1" s="88">
        <v>24621493.5</v>
      </c>
      <c r="AG1" s="88">
        <f>AD1-AF1</f>
        <v>956154.54000000283</v>
      </c>
      <c r="AI1" s="74">
        <v>237788</v>
      </c>
      <c r="AJ1" s="74">
        <f>AG1-AI1</f>
        <v>718366.54000000283</v>
      </c>
    </row>
    <row r="2" spans="2:36" s="60" customFormat="1" ht="27" x14ac:dyDescent="0.2">
      <c r="B2" s="99" t="s">
        <v>1190</v>
      </c>
      <c r="C2" s="100" t="s">
        <v>1063</v>
      </c>
      <c r="D2" s="100" t="s">
        <v>1064</v>
      </c>
      <c r="E2" s="100" t="s">
        <v>1066</v>
      </c>
      <c r="F2" s="100" t="s">
        <v>1067</v>
      </c>
      <c r="G2" s="100" t="s">
        <v>4</v>
      </c>
      <c r="H2" s="112" t="s">
        <v>1191</v>
      </c>
      <c r="I2" s="112" t="s">
        <v>1068</v>
      </c>
      <c r="J2" s="112" t="s">
        <v>1069</v>
      </c>
      <c r="K2" s="100" t="s">
        <v>1070</v>
      </c>
      <c r="L2" s="100" t="s">
        <v>1071</v>
      </c>
      <c r="M2" s="100" t="s">
        <v>1072</v>
      </c>
      <c r="N2" s="112" t="s">
        <v>1075</v>
      </c>
      <c r="O2" s="10" t="s">
        <v>5</v>
      </c>
      <c r="P2" s="10" t="s">
        <v>6</v>
      </c>
      <c r="Q2" s="10" t="s">
        <v>7</v>
      </c>
      <c r="R2" s="10" t="s">
        <v>8</v>
      </c>
      <c r="S2" s="10" t="s">
        <v>9</v>
      </c>
      <c r="T2" s="10" t="s">
        <v>405</v>
      </c>
      <c r="U2" s="10" t="s">
        <v>392</v>
      </c>
      <c r="V2" s="25" t="s">
        <v>699</v>
      </c>
      <c r="W2" s="18" t="s">
        <v>702</v>
      </c>
      <c r="X2" s="25" t="s">
        <v>703</v>
      </c>
      <c r="Y2" s="18" t="s">
        <v>704</v>
      </c>
      <c r="Z2" s="43" t="s">
        <v>705</v>
      </c>
      <c r="AA2" s="43" t="s">
        <v>706</v>
      </c>
      <c r="AB2" s="43" t="s">
        <v>707</v>
      </c>
      <c r="AC2" s="43" t="s">
        <v>1254</v>
      </c>
      <c r="AD2" s="107" t="s">
        <v>1253</v>
      </c>
      <c r="AE2" s="117" t="s">
        <v>1255</v>
      </c>
      <c r="AF2" s="60" t="s">
        <v>1049</v>
      </c>
      <c r="AG2" s="60" t="s">
        <v>1050</v>
      </c>
    </row>
    <row r="3" spans="2:36" s="57" customFormat="1" x14ac:dyDescent="0.2">
      <c r="B3" s="15">
        <v>1</v>
      </c>
      <c r="C3" s="11">
        <v>1</v>
      </c>
      <c r="D3" s="11">
        <v>110029750</v>
      </c>
      <c r="E3" s="11" t="str">
        <f t="shared" ref="E3:E80" si="0">TRIM(D3)</f>
        <v>110029750</v>
      </c>
      <c r="F3" s="11" t="s">
        <v>407</v>
      </c>
      <c r="G3" s="48" t="s">
        <v>13</v>
      </c>
      <c r="H3" s="47" t="s">
        <v>712</v>
      </c>
      <c r="I3" s="77" t="s">
        <v>1224</v>
      </c>
      <c r="J3" s="77" t="s">
        <v>1137</v>
      </c>
      <c r="K3" s="11">
        <v>0</v>
      </c>
      <c r="L3" s="11">
        <v>0</v>
      </c>
      <c r="M3" s="11" t="s">
        <v>1094</v>
      </c>
      <c r="N3" s="48" t="s">
        <v>1193</v>
      </c>
      <c r="O3" s="11" t="s">
        <v>14</v>
      </c>
      <c r="P3" s="11" t="s">
        <v>14</v>
      </c>
      <c r="Q3" s="11"/>
      <c r="R3" s="11" t="s">
        <v>15</v>
      </c>
      <c r="S3" s="11"/>
      <c r="T3" s="11" t="s">
        <v>354</v>
      </c>
      <c r="U3" s="11" t="s">
        <v>354</v>
      </c>
      <c r="V3" s="11"/>
      <c r="W3" s="48"/>
      <c r="X3" s="48"/>
      <c r="Y3" s="11"/>
      <c r="Z3" s="70"/>
      <c r="AA3" s="70"/>
      <c r="AB3" s="70"/>
      <c r="AC3" s="70"/>
      <c r="AD3" s="108"/>
      <c r="AE3" s="118"/>
    </row>
    <row r="4" spans="2:36" s="57" customFormat="1" x14ac:dyDescent="0.2">
      <c r="B4" s="12">
        <v>2</v>
      </c>
      <c r="C4" s="20">
        <v>2</v>
      </c>
      <c r="D4" s="20" t="s">
        <v>391</v>
      </c>
      <c r="E4" s="20" t="str">
        <f t="shared" si="0"/>
        <v>0581-0008-0207</v>
      </c>
      <c r="F4" s="20" t="s">
        <v>408</v>
      </c>
      <c r="G4" s="59" t="s">
        <v>372</v>
      </c>
      <c r="H4" s="58" t="s">
        <v>712</v>
      </c>
      <c r="I4" s="78" t="s">
        <v>397</v>
      </c>
      <c r="J4" s="78" t="s">
        <v>397</v>
      </c>
      <c r="K4" s="20">
        <v>2</v>
      </c>
      <c r="L4" s="20">
        <v>2</v>
      </c>
      <c r="M4" s="20" t="s">
        <v>1094</v>
      </c>
      <c r="N4" s="59" t="s">
        <v>712</v>
      </c>
      <c r="O4" s="20" t="s">
        <v>14</v>
      </c>
      <c r="P4" s="20"/>
      <c r="Q4" s="20" t="s">
        <v>18</v>
      </c>
      <c r="R4" s="20" t="s">
        <v>15</v>
      </c>
      <c r="S4" s="20"/>
      <c r="T4" s="20" t="s">
        <v>346</v>
      </c>
      <c r="U4" s="20" t="s">
        <v>346</v>
      </c>
      <c r="V4" s="20" t="s">
        <v>722</v>
      </c>
      <c r="W4" s="59" t="s">
        <v>815</v>
      </c>
      <c r="X4" s="59" t="s">
        <v>751</v>
      </c>
      <c r="Y4" s="20" t="s">
        <v>717</v>
      </c>
      <c r="Z4" s="71">
        <v>0</v>
      </c>
      <c r="AA4" s="71">
        <v>550</v>
      </c>
      <c r="AB4" s="71">
        <v>1100</v>
      </c>
      <c r="AC4" s="71">
        <v>550</v>
      </c>
      <c r="AD4" s="105">
        <f>$AC4*$K4</f>
        <v>1100</v>
      </c>
      <c r="AE4" s="118"/>
    </row>
    <row r="5" spans="2:36" s="57" customFormat="1" x14ac:dyDescent="0.2">
      <c r="B5" s="15">
        <v>3</v>
      </c>
      <c r="C5" s="11">
        <v>2</v>
      </c>
      <c r="D5" s="11">
        <v>100014570</v>
      </c>
      <c r="E5" s="11" t="str">
        <f t="shared" si="0"/>
        <v>100014570</v>
      </c>
      <c r="F5" s="11" t="s">
        <v>409</v>
      </c>
      <c r="G5" s="48" t="s">
        <v>20</v>
      </c>
      <c r="H5" s="47" t="s">
        <v>712</v>
      </c>
      <c r="I5" s="77" t="s">
        <v>1137</v>
      </c>
      <c r="J5" s="77" t="s">
        <v>1137</v>
      </c>
      <c r="K5" s="11">
        <v>1</v>
      </c>
      <c r="L5" s="11">
        <v>1</v>
      </c>
      <c r="M5" s="11" t="s">
        <v>1094</v>
      </c>
      <c r="N5" s="48" t="s">
        <v>1193</v>
      </c>
      <c r="O5" s="11" t="s">
        <v>14</v>
      </c>
      <c r="P5" s="11"/>
      <c r="Q5" s="11" t="s">
        <v>21</v>
      </c>
      <c r="R5" s="11" t="s">
        <v>15</v>
      </c>
      <c r="S5" s="11"/>
      <c r="T5" s="11" t="s">
        <v>354</v>
      </c>
      <c r="U5" s="11" t="s">
        <v>354</v>
      </c>
      <c r="V5" s="11"/>
      <c r="W5" s="48"/>
      <c r="X5" s="48"/>
      <c r="Y5" s="11"/>
      <c r="Z5" s="70"/>
      <c r="AA5" s="70"/>
      <c r="AB5" s="70"/>
      <c r="AC5" s="70"/>
      <c r="AD5" s="108"/>
      <c r="AE5" s="118"/>
    </row>
    <row r="6" spans="2:36" s="57" customFormat="1" x14ac:dyDescent="0.2">
      <c r="B6" s="12">
        <v>4</v>
      </c>
      <c r="C6" s="20">
        <v>3</v>
      </c>
      <c r="D6" s="20">
        <v>180000572</v>
      </c>
      <c r="E6" s="20" t="str">
        <f t="shared" si="0"/>
        <v>180000572</v>
      </c>
      <c r="F6" s="20" t="s">
        <v>410</v>
      </c>
      <c r="G6" s="59" t="s">
        <v>343</v>
      </c>
      <c r="H6" s="58" t="s">
        <v>712</v>
      </c>
      <c r="I6" s="78" t="s">
        <v>397</v>
      </c>
      <c r="J6" s="78" t="s">
        <v>1193</v>
      </c>
      <c r="K6" s="20">
        <v>0</v>
      </c>
      <c r="L6" s="20">
        <v>0</v>
      </c>
      <c r="M6" s="20" t="s">
        <v>1077</v>
      </c>
      <c r="N6" s="59" t="s">
        <v>712</v>
      </c>
      <c r="O6" s="20" t="s">
        <v>24</v>
      </c>
      <c r="P6" s="20"/>
      <c r="Q6" s="20" t="s">
        <v>25</v>
      </c>
      <c r="R6" s="20" t="s">
        <v>15</v>
      </c>
      <c r="S6" s="20"/>
      <c r="T6" s="20" t="s">
        <v>393</v>
      </c>
      <c r="U6" s="20" t="s">
        <v>344</v>
      </c>
      <c r="V6" s="20" t="s">
        <v>792</v>
      </c>
      <c r="W6" s="20" t="s">
        <v>837</v>
      </c>
      <c r="X6" s="59" t="s">
        <v>751</v>
      </c>
      <c r="Y6" s="20" t="s">
        <v>717</v>
      </c>
      <c r="Z6" s="71">
        <v>0</v>
      </c>
      <c r="AA6" s="71">
        <v>395000</v>
      </c>
      <c r="AB6" s="71">
        <v>0</v>
      </c>
      <c r="AC6" s="71">
        <v>395000</v>
      </c>
      <c r="AD6" s="105">
        <v>0</v>
      </c>
      <c r="AE6" s="118"/>
    </row>
    <row r="7" spans="2:36" s="57" customFormat="1" x14ac:dyDescent="0.2">
      <c r="B7" s="12">
        <v>5</v>
      </c>
      <c r="C7" s="20">
        <v>3</v>
      </c>
      <c r="D7" s="20">
        <v>190002900</v>
      </c>
      <c r="E7" s="20" t="str">
        <f t="shared" si="0"/>
        <v>190002900</v>
      </c>
      <c r="F7" s="20" t="s">
        <v>411</v>
      </c>
      <c r="G7" s="59" t="s">
        <v>27</v>
      </c>
      <c r="H7" s="58" t="s">
        <v>712</v>
      </c>
      <c r="I7" s="78" t="s">
        <v>1192</v>
      </c>
      <c r="J7" s="78" t="s">
        <v>1193</v>
      </c>
      <c r="K7" s="20">
        <v>1</v>
      </c>
      <c r="L7" s="20">
        <v>1</v>
      </c>
      <c r="M7" s="20" t="s">
        <v>1095</v>
      </c>
      <c r="N7" s="59" t="s">
        <v>712</v>
      </c>
      <c r="O7" s="20" t="s">
        <v>28</v>
      </c>
      <c r="P7" s="20"/>
      <c r="Q7" s="20" t="s">
        <v>21</v>
      </c>
      <c r="R7" s="20" t="s">
        <v>15</v>
      </c>
      <c r="S7" s="20"/>
      <c r="T7" s="20" t="s">
        <v>346</v>
      </c>
      <c r="U7" s="20" t="s">
        <v>346</v>
      </c>
      <c r="V7" s="20" t="s">
        <v>836</v>
      </c>
      <c r="W7" s="59" t="s">
        <v>838</v>
      </c>
      <c r="X7" s="59" t="s">
        <v>751</v>
      </c>
      <c r="Y7" s="20" t="s">
        <v>717</v>
      </c>
      <c r="Z7" s="71">
        <v>120306.5</v>
      </c>
      <c r="AA7" s="71">
        <v>125000</v>
      </c>
      <c r="AB7" s="71">
        <v>125000</v>
      </c>
      <c r="AC7" s="71">
        <v>125000</v>
      </c>
      <c r="AD7" s="105">
        <v>0</v>
      </c>
      <c r="AE7" s="118"/>
    </row>
    <row r="8" spans="2:36" s="57" customFormat="1" x14ac:dyDescent="0.2">
      <c r="B8" s="12">
        <v>6</v>
      </c>
      <c r="C8" s="20">
        <v>4</v>
      </c>
      <c r="D8" s="20" t="s">
        <v>1086</v>
      </c>
      <c r="E8" s="20" t="s">
        <v>1184</v>
      </c>
      <c r="F8" s="20" t="s">
        <v>411</v>
      </c>
      <c r="G8" s="59" t="s">
        <v>1091</v>
      </c>
      <c r="H8" s="58" t="s">
        <v>1227</v>
      </c>
      <c r="I8" s="78" t="s">
        <v>1232</v>
      </c>
      <c r="J8" s="78" t="s">
        <v>1193</v>
      </c>
      <c r="K8" s="20">
        <v>1</v>
      </c>
      <c r="L8" s="20">
        <v>1</v>
      </c>
      <c r="M8" s="20" t="s">
        <v>1094</v>
      </c>
      <c r="N8" s="59" t="s">
        <v>1137</v>
      </c>
      <c r="O8" s="20"/>
      <c r="P8" s="20"/>
      <c r="Q8" s="20"/>
      <c r="R8" s="20"/>
      <c r="S8" s="20"/>
      <c r="T8" s="20" t="s">
        <v>346</v>
      </c>
      <c r="U8" s="20" t="s">
        <v>346</v>
      </c>
      <c r="V8" s="20" t="s">
        <v>836</v>
      </c>
      <c r="W8" s="59" t="s">
        <v>838</v>
      </c>
      <c r="X8" s="59" t="s">
        <v>751</v>
      </c>
      <c r="Y8" s="20" t="s">
        <v>717</v>
      </c>
      <c r="Z8" s="71"/>
      <c r="AA8" s="71"/>
      <c r="AB8" s="71"/>
      <c r="AC8" s="71">
        <v>42500</v>
      </c>
      <c r="AD8" s="105">
        <f t="shared" ref="AD8:AD10" si="1">$AC8*$K8</f>
        <v>42500</v>
      </c>
      <c r="AE8" s="118"/>
    </row>
    <row r="9" spans="2:36" s="57" customFormat="1" x14ac:dyDescent="0.2">
      <c r="B9" s="12">
        <v>7</v>
      </c>
      <c r="C9" s="20">
        <v>4</v>
      </c>
      <c r="D9" s="20" t="s">
        <v>1087</v>
      </c>
      <c r="E9" s="20" t="s">
        <v>1087</v>
      </c>
      <c r="F9" s="20" t="s">
        <v>411</v>
      </c>
      <c r="G9" s="59" t="s">
        <v>1092</v>
      </c>
      <c r="H9" s="58" t="s">
        <v>1227</v>
      </c>
      <c r="I9" s="78" t="s">
        <v>1234</v>
      </c>
      <c r="J9" s="78" t="s">
        <v>1193</v>
      </c>
      <c r="K9" s="20">
        <v>1</v>
      </c>
      <c r="L9" s="20">
        <v>1</v>
      </c>
      <c r="M9" s="20" t="s">
        <v>1094</v>
      </c>
      <c r="N9" s="59" t="s">
        <v>1193</v>
      </c>
      <c r="O9" s="20"/>
      <c r="P9" s="20"/>
      <c r="Q9" s="20"/>
      <c r="R9" s="20"/>
      <c r="S9" s="20"/>
      <c r="T9" s="20" t="s">
        <v>346</v>
      </c>
      <c r="U9" s="20" t="s">
        <v>346</v>
      </c>
      <c r="V9" s="20" t="s">
        <v>836</v>
      </c>
      <c r="W9" s="59" t="s">
        <v>838</v>
      </c>
      <c r="X9" s="59" t="s">
        <v>751</v>
      </c>
      <c r="Y9" s="20" t="s">
        <v>717</v>
      </c>
      <c r="Z9" s="71"/>
      <c r="AA9" s="71"/>
      <c r="AB9" s="71"/>
      <c r="AC9" s="71">
        <v>8000</v>
      </c>
      <c r="AD9" s="105">
        <f t="shared" si="1"/>
        <v>8000</v>
      </c>
      <c r="AE9" s="118"/>
    </row>
    <row r="10" spans="2:36" s="57" customFormat="1" x14ac:dyDescent="0.2">
      <c r="B10" s="12">
        <v>8</v>
      </c>
      <c r="C10" s="20">
        <v>4</v>
      </c>
      <c r="D10" s="20" t="s">
        <v>1088</v>
      </c>
      <c r="E10" s="20" t="s">
        <v>1088</v>
      </c>
      <c r="F10" s="20" t="s">
        <v>411</v>
      </c>
      <c r="G10" s="59" t="s">
        <v>1093</v>
      </c>
      <c r="H10" s="58" t="s">
        <v>863</v>
      </c>
      <c r="I10" s="78" t="s">
        <v>1233</v>
      </c>
      <c r="J10" s="78" t="s">
        <v>1193</v>
      </c>
      <c r="K10" s="20">
        <v>1</v>
      </c>
      <c r="L10" s="20">
        <v>1</v>
      </c>
      <c r="M10" s="20" t="s">
        <v>1095</v>
      </c>
      <c r="N10" s="59" t="s">
        <v>1137</v>
      </c>
      <c r="O10" s="20"/>
      <c r="P10" s="20"/>
      <c r="Q10" s="20"/>
      <c r="R10" s="20"/>
      <c r="S10" s="20"/>
      <c r="T10" s="20" t="s">
        <v>346</v>
      </c>
      <c r="U10" s="20" t="s">
        <v>346</v>
      </c>
      <c r="V10" s="20" t="s">
        <v>836</v>
      </c>
      <c r="W10" s="59" t="s">
        <v>1062</v>
      </c>
      <c r="X10" s="59" t="s">
        <v>751</v>
      </c>
      <c r="Y10" s="20" t="s">
        <v>717</v>
      </c>
      <c r="Z10" s="71"/>
      <c r="AA10" s="71"/>
      <c r="AB10" s="71"/>
      <c r="AC10" s="71">
        <v>90000</v>
      </c>
      <c r="AD10" s="105">
        <f t="shared" si="1"/>
        <v>90000</v>
      </c>
      <c r="AE10" s="118"/>
    </row>
    <row r="11" spans="2:36" s="57" customFormat="1" x14ac:dyDescent="0.2">
      <c r="B11" s="12">
        <v>9</v>
      </c>
      <c r="C11" s="20">
        <v>3</v>
      </c>
      <c r="D11" s="20">
        <v>190002920</v>
      </c>
      <c r="E11" s="20">
        <v>190002920</v>
      </c>
      <c r="F11" s="20" t="s">
        <v>412</v>
      </c>
      <c r="G11" s="59" t="s">
        <v>30</v>
      </c>
      <c r="H11" s="58" t="s">
        <v>712</v>
      </c>
      <c r="I11" s="78" t="s">
        <v>397</v>
      </c>
      <c r="J11" s="78" t="s">
        <v>1193</v>
      </c>
      <c r="K11" s="20">
        <v>1</v>
      </c>
      <c r="L11" s="20">
        <v>1</v>
      </c>
      <c r="M11" s="20" t="s">
        <v>1094</v>
      </c>
      <c r="N11" s="59" t="s">
        <v>712</v>
      </c>
      <c r="O11" s="20" t="s">
        <v>31</v>
      </c>
      <c r="P11" s="20"/>
      <c r="Q11" s="20" t="s">
        <v>21</v>
      </c>
      <c r="R11" s="20" t="s">
        <v>15</v>
      </c>
      <c r="S11" s="20"/>
      <c r="T11" s="20" t="s">
        <v>346</v>
      </c>
      <c r="U11" s="20" t="s">
        <v>346</v>
      </c>
      <c r="V11" s="20" t="s">
        <v>836</v>
      </c>
      <c r="W11" s="59" t="s">
        <v>838</v>
      </c>
      <c r="X11" s="59" t="s">
        <v>751</v>
      </c>
      <c r="Y11" s="20" t="s">
        <v>717</v>
      </c>
      <c r="Z11" s="71">
        <v>108764.50000000001</v>
      </c>
      <c r="AA11" s="71">
        <v>125000</v>
      </c>
      <c r="AB11" s="71">
        <v>125000</v>
      </c>
      <c r="AC11" s="71">
        <v>125000</v>
      </c>
      <c r="AD11" s="105">
        <v>0</v>
      </c>
      <c r="AE11" s="118"/>
    </row>
    <row r="12" spans="2:36" s="57" customFormat="1" x14ac:dyDescent="0.2">
      <c r="B12" s="12">
        <v>10</v>
      </c>
      <c r="C12" s="20">
        <v>4</v>
      </c>
      <c r="D12" s="20" t="s">
        <v>1226</v>
      </c>
      <c r="E12" s="20" t="s">
        <v>1185</v>
      </c>
      <c r="F12" s="20" t="s">
        <v>412</v>
      </c>
      <c r="G12" s="59" t="s">
        <v>1091</v>
      </c>
      <c r="H12" s="58" t="s">
        <v>1227</v>
      </c>
      <c r="I12" s="78" t="s">
        <v>1235</v>
      </c>
      <c r="J12" s="78" t="s">
        <v>1193</v>
      </c>
      <c r="K12" s="20">
        <v>1</v>
      </c>
      <c r="L12" s="20">
        <v>1</v>
      </c>
      <c r="M12" s="20" t="s">
        <v>1094</v>
      </c>
      <c r="N12" s="59" t="s">
        <v>1192</v>
      </c>
      <c r="O12" s="20"/>
      <c r="P12" s="20"/>
      <c r="Q12" s="20"/>
      <c r="R12" s="20"/>
      <c r="S12" s="20"/>
      <c r="T12" s="20" t="s">
        <v>346</v>
      </c>
      <c r="U12" s="20" t="s">
        <v>346</v>
      </c>
      <c r="V12" s="20" t="s">
        <v>836</v>
      </c>
      <c r="W12" s="59" t="s">
        <v>838</v>
      </c>
      <c r="X12" s="59" t="s">
        <v>751</v>
      </c>
      <c r="Y12" s="20" t="s">
        <v>717</v>
      </c>
      <c r="Z12" s="71"/>
      <c r="AA12" s="71"/>
      <c r="AB12" s="71"/>
      <c r="AC12" s="71">
        <v>42500</v>
      </c>
      <c r="AD12" s="105">
        <f t="shared" ref="AD12:AD14" si="2">$AC12*$K12</f>
        <v>42500</v>
      </c>
      <c r="AE12" s="118"/>
    </row>
    <row r="13" spans="2:36" s="57" customFormat="1" x14ac:dyDescent="0.2">
      <c r="B13" s="12">
        <v>11</v>
      </c>
      <c r="C13" s="20">
        <v>4</v>
      </c>
      <c r="D13" s="20" t="s">
        <v>1089</v>
      </c>
      <c r="E13" s="20" t="s">
        <v>1186</v>
      </c>
      <c r="F13" s="20" t="s">
        <v>412</v>
      </c>
      <c r="G13" s="59" t="s">
        <v>1092</v>
      </c>
      <c r="H13" s="58" t="s">
        <v>1227</v>
      </c>
      <c r="I13" s="78" t="s">
        <v>1236</v>
      </c>
      <c r="J13" s="78" t="s">
        <v>1193</v>
      </c>
      <c r="K13" s="20">
        <v>1</v>
      </c>
      <c r="L13" s="20">
        <v>1</v>
      </c>
      <c r="M13" s="20" t="s">
        <v>1094</v>
      </c>
      <c r="N13" s="59" t="s">
        <v>1193</v>
      </c>
      <c r="O13" s="20"/>
      <c r="P13" s="20"/>
      <c r="Q13" s="20"/>
      <c r="R13" s="20"/>
      <c r="S13" s="20"/>
      <c r="T13" s="20" t="s">
        <v>346</v>
      </c>
      <c r="U13" s="20" t="s">
        <v>346</v>
      </c>
      <c r="V13" s="20" t="s">
        <v>836</v>
      </c>
      <c r="W13" s="59" t="s">
        <v>838</v>
      </c>
      <c r="X13" s="59" t="s">
        <v>751</v>
      </c>
      <c r="Y13" s="20" t="s">
        <v>717</v>
      </c>
      <c r="Z13" s="71"/>
      <c r="AA13" s="71"/>
      <c r="AB13" s="71"/>
      <c r="AC13" s="71">
        <v>8000</v>
      </c>
      <c r="AD13" s="105">
        <f t="shared" si="2"/>
        <v>8000</v>
      </c>
      <c r="AE13" s="118"/>
    </row>
    <row r="14" spans="2:36" s="57" customFormat="1" x14ac:dyDescent="0.2">
      <c r="B14" s="12">
        <v>12</v>
      </c>
      <c r="C14" s="20">
        <v>4</v>
      </c>
      <c r="D14" s="20" t="s">
        <v>1090</v>
      </c>
      <c r="E14" s="20" t="s">
        <v>1090</v>
      </c>
      <c r="F14" s="20" t="s">
        <v>412</v>
      </c>
      <c r="G14" s="59" t="s">
        <v>1093</v>
      </c>
      <c r="H14" s="58" t="s">
        <v>863</v>
      </c>
      <c r="I14" s="78" t="s">
        <v>1061</v>
      </c>
      <c r="J14" s="78" t="s">
        <v>1193</v>
      </c>
      <c r="K14" s="20">
        <v>1</v>
      </c>
      <c r="L14" s="20">
        <v>1</v>
      </c>
      <c r="M14" s="20" t="s">
        <v>1094</v>
      </c>
      <c r="N14" s="59" t="s">
        <v>397</v>
      </c>
      <c r="O14" s="20"/>
      <c r="P14" s="20"/>
      <c r="Q14" s="20"/>
      <c r="R14" s="20"/>
      <c r="S14" s="20"/>
      <c r="T14" s="20" t="s">
        <v>346</v>
      </c>
      <c r="U14" s="20" t="s">
        <v>346</v>
      </c>
      <c r="V14" s="20" t="s">
        <v>836</v>
      </c>
      <c r="W14" s="59" t="s">
        <v>1062</v>
      </c>
      <c r="X14" s="59" t="s">
        <v>751</v>
      </c>
      <c r="Y14" s="20" t="s">
        <v>717</v>
      </c>
      <c r="Z14" s="71"/>
      <c r="AA14" s="71"/>
      <c r="AB14" s="71"/>
      <c r="AC14" s="71">
        <v>90000</v>
      </c>
      <c r="AD14" s="105">
        <f t="shared" si="2"/>
        <v>90000</v>
      </c>
      <c r="AE14" s="118"/>
    </row>
    <row r="15" spans="2:36" s="57" customFormat="1" x14ac:dyDescent="0.2">
      <c r="B15" s="49">
        <v>13</v>
      </c>
      <c r="C15" s="50">
        <v>2</v>
      </c>
      <c r="D15" s="50">
        <v>100210965</v>
      </c>
      <c r="E15" s="50" t="str">
        <f t="shared" si="0"/>
        <v>100210965</v>
      </c>
      <c r="F15" s="50" t="s">
        <v>413</v>
      </c>
      <c r="G15" s="52" t="s">
        <v>363</v>
      </c>
      <c r="H15" s="51" t="s">
        <v>712</v>
      </c>
      <c r="I15" s="79" t="s">
        <v>397</v>
      </c>
      <c r="J15" s="79" t="s">
        <v>1193</v>
      </c>
      <c r="K15" s="50">
        <v>0</v>
      </c>
      <c r="L15" s="50">
        <v>0</v>
      </c>
      <c r="M15" s="50" t="s">
        <v>1078</v>
      </c>
      <c r="N15" s="52" t="s">
        <v>712</v>
      </c>
      <c r="O15" s="50" t="s">
        <v>14</v>
      </c>
      <c r="P15" s="50"/>
      <c r="Q15" s="50" t="s">
        <v>33</v>
      </c>
      <c r="R15" s="50" t="s">
        <v>15</v>
      </c>
      <c r="S15" s="50"/>
      <c r="T15" s="50" t="s">
        <v>397</v>
      </c>
      <c r="U15" s="50" t="s">
        <v>374</v>
      </c>
      <c r="V15" s="50" t="s">
        <v>712</v>
      </c>
      <c r="W15" s="52" t="s">
        <v>712</v>
      </c>
      <c r="X15" s="52" t="s">
        <v>712</v>
      </c>
      <c r="Y15" s="50" t="s">
        <v>717</v>
      </c>
      <c r="Z15" s="72">
        <v>0</v>
      </c>
      <c r="AA15" s="72">
        <v>0</v>
      </c>
      <c r="AB15" s="72">
        <v>0</v>
      </c>
      <c r="AC15" s="72">
        <v>0</v>
      </c>
      <c r="AD15" s="109">
        <v>0</v>
      </c>
      <c r="AE15" s="118"/>
    </row>
    <row r="16" spans="2:36" s="57" customFormat="1" x14ac:dyDescent="0.2">
      <c r="B16" s="49">
        <v>14</v>
      </c>
      <c r="C16" s="50">
        <v>3</v>
      </c>
      <c r="D16" s="50">
        <v>100210964</v>
      </c>
      <c r="E16" s="50" t="str">
        <f t="shared" si="0"/>
        <v>100210964</v>
      </c>
      <c r="F16" s="50" t="s">
        <v>418</v>
      </c>
      <c r="G16" s="52" t="s">
        <v>35</v>
      </c>
      <c r="H16" s="51" t="s">
        <v>712</v>
      </c>
      <c r="I16" s="79" t="s">
        <v>397</v>
      </c>
      <c r="J16" s="79" t="s">
        <v>1193</v>
      </c>
      <c r="K16" s="50">
        <v>0</v>
      </c>
      <c r="L16" s="50">
        <v>0</v>
      </c>
      <c r="M16" s="50" t="s">
        <v>1076</v>
      </c>
      <c r="N16" s="52" t="s">
        <v>712</v>
      </c>
      <c r="O16" s="50" t="s">
        <v>14</v>
      </c>
      <c r="P16" s="50"/>
      <c r="Q16" s="50" t="s">
        <v>33</v>
      </c>
      <c r="R16" s="50" t="s">
        <v>15</v>
      </c>
      <c r="S16" s="50"/>
      <c r="T16" s="50" t="s">
        <v>397</v>
      </c>
      <c r="U16" s="50" t="s">
        <v>374</v>
      </c>
      <c r="V16" s="50" t="s">
        <v>712</v>
      </c>
      <c r="W16" s="52" t="s">
        <v>712</v>
      </c>
      <c r="X16" s="52" t="s">
        <v>712</v>
      </c>
      <c r="Y16" s="50" t="s">
        <v>717</v>
      </c>
      <c r="Z16" s="72">
        <v>0</v>
      </c>
      <c r="AA16" s="72">
        <v>0</v>
      </c>
      <c r="AB16" s="72">
        <v>0</v>
      </c>
      <c r="AC16" s="72">
        <v>0</v>
      </c>
      <c r="AD16" s="109">
        <v>0</v>
      </c>
      <c r="AE16" s="118"/>
    </row>
    <row r="17" spans="2:31" s="57" customFormat="1" x14ac:dyDescent="0.2">
      <c r="B17" s="49">
        <v>15</v>
      </c>
      <c r="C17" s="50">
        <v>4</v>
      </c>
      <c r="D17" s="50">
        <v>860210837</v>
      </c>
      <c r="E17" s="50" t="str">
        <f t="shared" si="0"/>
        <v>860210837</v>
      </c>
      <c r="F17" s="50" t="s">
        <v>410</v>
      </c>
      <c r="G17" s="52" t="s">
        <v>37</v>
      </c>
      <c r="H17" s="51" t="s">
        <v>712</v>
      </c>
      <c r="I17" s="79" t="s">
        <v>397</v>
      </c>
      <c r="J17" s="79" t="s">
        <v>1193</v>
      </c>
      <c r="K17" s="50">
        <v>1</v>
      </c>
      <c r="L17" s="50">
        <v>1</v>
      </c>
      <c r="M17" s="50" t="s">
        <v>1074</v>
      </c>
      <c r="N17" s="52" t="s">
        <v>712</v>
      </c>
      <c r="O17" s="50" t="s">
        <v>14</v>
      </c>
      <c r="P17" s="50"/>
      <c r="Q17" s="50" t="s">
        <v>21</v>
      </c>
      <c r="R17" s="50" t="s">
        <v>38</v>
      </c>
      <c r="S17" s="50"/>
      <c r="T17" s="50" t="s">
        <v>397</v>
      </c>
      <c r="U17" s="50" t="s">
        <v>374</v>
      </c>
      <c r="V17" s="50" t="s">
        <v>712</v>
      </c>
      <c r="W17" s="52" t="s">
        <v>712</v>
      </c>
      <c r="X17" s="52" t="s">
        <v>712</v>
      </c>
      <c r="Y17" s="50" t="s">
        <v>717</v>
      </c>
      <c r="Z17" s="72">
        <v>0</v>
      </c>
      <c r="AA17" s="72">
        <v>0</v>
      </c>
      <c r="AB17" s="72">
        <v>0</v>
      </c>
      <c r="AC17" s="72">
        <v>0</v>
      </c>
      <c r="AD17" s="109">
        <v>0</v>
      </c>
      <c r="AE17" s="118"/>
    </row>
    <row r="18" spans="2:31" s="57" customFormat="1" x14ac:dyDescent="0.2">
      <c r="B18" s="49">
        <v>16</v>
      </c>
      <c r="C18" s="50">
        <v>3</v>
      </c>
      <c r="D18" s="50">
        <v>100210966</v>
      </c>
      <c r="E18" s="50" t="str">
        <f t="shared" si="0"/>
        <v>100210966</v>
      </c>
      <c r="F18" s="50" t="s">
        <v>1085</v>
      </c>
      <c r="G18" s="52" t="s">
        <v>40</v>
      </c>
      <c r="H18" s="51" t="s">
        <v>712</v>
      </c>
      <c r="I18" s="79" t="s">
        <v>397</v>
      </c>
      <c r="J18" s="79" t="s">
        <v>1193</v>
      </c>
      <c r="K18" s="50">
        <v>0</v>
      </c>
      <c r="L18" s="50">
        <v>0</v>
      </c>
      <c r="M18" s="50" t="s">
        <v>1076</v>
      </c>
      <c r="N18" s="52" t="s">
        <v>712</v>
      </c>
      <c r="O18" s="50" t="s">
        <v>14</v>
      </c>
      <c r="P18" s="50"/>
      <c r="Q18" s="50" t="s">
        <v>33</v>
      </c>
      <c r="R18" s="50" t="s">
        <v>15</v>
      </c>
      <c r="S18" s="50"/>
      <c r="T18" s="50" t="s">
        <v>397</v>
      </c>
      <c r="U18" s="50" t="s">
        <v>374</v>
      </c>
      <c r="V18" s="50" t="s">
        <v>712</v>
      </c>
      <c r="W18" s="52" t="s">
        <v>712</v>
      </c>
      <c r="X18" s="52" t="s">
        <v>712</v>
      </c>
      <c r="Y18" s="50" t="s">
        <v>717</v>
      </c>
      <c r="Z18" s="72">
        <v>0</v>
      </c>
      <c r="AA18" s="72">
        <v>0</v>
      </c>
      <c r="AB18" s="72">
        <v>0</v>
      </c>
      <c r="AC18" s="72">
        <v>0</v>
      </c>
      <c r="AD18" s="109">
        <v>0</v>
      </c>
      <c r="AE18" s="118"/>
    </row>
    <row r="19" spans="2:31" s="57" customFormat="1" x14ac:dyDescent="0.2">
      <c r="B19" s="49">
        <v>17</v>
      </c>
      <c r="C19" s="50">
        <v>4</v>
      </c>
      <c r="D19" s="50">
        <v>860210837</v>
      </c>
      <c r="E19" s="50" t="str">
        <f t="shared" si="0"/>
        <v>860210837</v>
      </c>
      <c r="F19" s="50" t="s">
        <v>410</v>
      </c>
      <c r="G19" s="52" t="s">
        <v>37</v>
      </c>
      <c r="H19" s="51" t="s">
        <v>712</v>
      </c>
      <c r="I19" s="79" t="s">
        <v>397</v>
      </c>
      <c r="J19" s="79" t="s">
        <v>1193</v>
      </c>
      <c r="K19" s="50">
        <v>1</v>
      </c>
      <c r="L19" s="50">
        <v>1</v>
      </c>
      <c r="M19" s="50" t="s">
        <v>1074</v>
      </c>
      <c r="N19" s="52" t="s">
        <v>712</v>
      </c>
      <c r="O19" s="50" t="s">
        <v>14</v>
      </c>
      <c r="P19" s="50"/>
      <c r="Q19" s="50" t="s">
        <v>21</v>
      </c>
      <c r="R19" s="50" t="s">
        <v>38</v>
      </c>
      <c r="S19" s="50"/>
      <c r="T19" s="50" t="s">
        <v>397</v>
      </c>
      <c r="U19" s="50" t="s">
        <v>374</v>
      </c>
      <c r="V19" s="50" t="s">
        <v>712</v>
      </c>
      <c r="W19" s="52" t="s">
        <v>712</v>
      </c>
      <c r="X19" s="52" t="s">
        <v>712</v>
      </c>
      <c r="Y19" s="50" t="s">
        <v>717</v>
      </c>
      <c r="Z19" s="72">
        <v>0</v>
      </c>
      <c r="AA19" s="72">
        <v>0</v>
      </c>
      <c r="AB19" s="72">
        <v>0</v>
      </c>
      <c r="AC19" s="72">
        <v>0</v>
      </c>
      <c r="AD19" s="109">
        <v>0</v>
      </c>
      <c r="AE19" s="118"/>
    </row>
    <row r="20" spans="2:31" s="57" customFormat="1" x14ac:dyDescent="0.2">
      <c r="B20" s="49">
        <v>18</v>
      </c>
      <c r="C20" s="50">
        <v>3</v>
      </c>
      <c r="D20" s="50">
        <v>100210967</v>
      </c>
      <c r="E20" s="50" t="str">
        <f t="shared" si="0"/>
        <v>100210967</v>
      </c>
      <c r="F20" s="50" t="s">
        <v>1085</v>
      </c>
      <c r="G20" s="52" t="s">
        <v>41</v>
      </c>
      <c r="H20" s="51" t="s">
        <v>712</v>
      </c>
      <c r="I20" s="79" t="s">
        <v>397</v>
      </c>
      <c r="J20" s="79" t="s">
        <v>1193</v>
      </c>
      <c r="K20" s="50">
        <v>0</v>
      </c>
      <c r="L20" s="50">
        <v>0</v>
      </c>
      <c r="M20" s="50" t="s">
        <v>1077</v>
      </c>
      <c r="N20" s="52" t="s">
        <v>712</v>
      </c>
      <c r="O20" s="50" t="s">
        <v>14</v>
      </c>
      <c r="P20" s="50"/>
      <c r="Q20" s="50" t="s">
        <v>33</v>
      </c>
      <c r="R20" s="50" t="s">
        <v>15</v>
      </c>
      <c r="S20" s="50"/>
      <c r="T20" s="50" t="s">
        <v>397</v>
      </c>
      <c r="U20" s="50" t="s">
        <v>374</v>
      </c>
      <c r="V20" s="50" t="s">
        <v>712</v>
      </c>
      <c r="W20" s="52" t="s">
        <v>712</v>
      </c>
      <c r="X20" s="52" t="s">
        <v>712</v>
      </c>
      <c r="Y20" s="50" t="s">
        <v>717</v>
      </c>
      <c r="Z20" s="72">
        <v>0</v>
      </c>
      <c r="AA20" s="72">
        <v>0</v>
      </c>
      <c r="AB20" s="72">
        <v>0</v>
      </c>
      <c r="AC20" s="72">
        <v>0</v>
      </c>
      <c r="AD20" s="109">
        <v>0</v>
      </c>
      <c r="AE20" s="118"/>
    </row>
    <row r="21" spans="2:31" s="57" customFormat="1" x14ac:dyDescent="0.2">
      <c r="B21" s="49">
        <v>19</v>
      </c>
      <c r="C21" s="50">
        <v>4</v>
      </c>
      <c r="D21" s="50">
        <v>860210837</v>
      </c>
      <c r="E21" s="50" t="str">
        <f t="shared" si="0"/>
        <v>860210837</v>
      </c>
      <c r="F21" s="50" t="s">
        <v>410</v>
      </c>
      <c r="G21" s="52" t="s">
        <v>37</v>
      </c>
      <c r="H21" s="51" t="s">
        <v>712</v>
      </c>
      <c r="I21" s="79" t="s">
        <v>397</v>
      </c>
      <c r="J21" s="79" t="s">
        <v>1193</v>
      </c>
      <c r="K21" s="50">
        <v>1</v>
      </c>
      <c r="L21" s="50">
        <v>1</v>
      </c>
      <c r="M21" s="50" t="s">
        <v>1074</v>
      </c>
      <c r="N21" s="52" t="s">
        <v>712</v>
      </c>
      <c r="O21" s="50" t="s">
        <v>14</v>
      </c>
      <c r="P21" s="50"/>
      <c r="Q21" s="50" t="s">
        <v>21</v>
      </c>
      <c r="R21" s="50" t="s">
        <v>38</v>
      </c>
      <c r="S21" s="50"/>
      <c r="T21" s="50" t="s">
        <v>397</v>
      </c>
      <c r="U21" s="50" t="s">
        <v>374</v>
      </c>
      <c r="V21" s="50" t="s">
        <v>712</v>
      </c>
      <c r="W21" s="52" t="s">
        <v>712</v>
      </c>
      <c r="X21" s="52" t="s">
        <v>712</v>
      </c>
      <c r="Y21" s="50" t="s">
        <v>717</v>
      </c>
      <c r="Z21" s="72">
        <v>0</v>
      </c>
      <c r="AA21" s="72">
        <v>0</v>
      </c>
      <c r="AB21" s="72">
        <v>0</v>
      </c>
      <c r="AC21" s="72">
        <v>0</v>
      </c>
      <c r="AD21" s="109">
        <v>0</v>
      </c>
      <c r="AE21" s="118"/>
    </row>
    <row r="22" spans="2:31" s="57" customFormat="1" x14ac:dyDescent="0.2">
      <c r="B22" s="49">
        <v>20</v>
      </c>
      <c r="C22" s="50">
        <v>3</v>
      </c>
      <c r="D22" s="50">
        <v>100210968</v>
      </c>
      <c r="E22" s="50" t="str">
        <f t="shared" si="0"/>
        <v>100210968</v>
      </c>
      <c r="F22" s="50" t="s">
        <v>1085</v>
      </c>
      <c r="G22" s="52" t="s">
        <v>42</v>
      </c>
      <c r="H22" s="51" t="s">
        <v>712</v>
      </c>
      <c r="I22" s="79" t="s">
        <v>397</v>
      </c>
      <c r="J22" s="79" t="s">
        <v>1193</v>
      </c>
      <c r="K22" s="50">
        <v>0</v>
      </c>
      <c r="L22" s="50">
        <v>0</v>
      </c>
      <c r="M22" s="50" t="s">
        <v>1079</v>
      </c>
      <c r="N22" s="52" t="s">
        <v>712</v>
      </c>
      <c r="O22" s="50" t="s">
        <v>14</v>
      </c>
      <c r="P22" s="50"/>
      <c r="Q22" s="50" t="s">
        <v>33</v>
      </c>
      <c r="R22" s="50" t="s">
        <v>15</v>
      </c>
      <c r="S22" s="50"/>
      <c r="T22" s="50" t="s">
        <v>397</v>
      </c>
      <c r="U22" s="50" t="s">
        <v>374</v>
      </c>
      <c r="V22" s="50" t="s">
        <v>712</v>
      </c>
      <c r="W22" s="52" t="s">
        <v>712</v>
      </c>
      <c r="X22" s="52" t="s">
        <v>712</v>
      </c>
      <c r="Y22" s="50" t="s">
        <v>717</v>
      </c>
      <c r="Z22" s="72">
        <v>0</v>
      </c>
      <c r="AA22" s="72">
        <v>0</v>
      </c>
      <c r="AB22" s="72">
        <v>0</v>
      </c>
      <c r="AC22" s="72">
        <v>0</v>
      </c>
      <c r="AD22" s="109">
        <v>0</v>
      </c>
      <c r="AE22" s="118"/>
    </row>
    <row r="23" spans="2:31" s="57" customFormat="1" x14ac:dyDescent="0.2">
      <c r="B23" s="49">
        <v>21</v>
      </c>
      <c r="C23" s="50">
        <v>4</v>
      </c>
      <c r="D23" s="50">
        <v>860210837</v>
      </c>
      <c r="E23" s="50" t="str">
        <f t="shared" si="0"/>
        <v>860210837</v>
      </c>
      <c r="F23" s="50" t="s">
        <v>410</v>
      </c>
      <c r="G23" s="52" t="s">
        <v>37</v>
      </c>
      <c r="H23" s="51" t="s">
        <v>712</v>
      </c>
      <c r="I23" s="79" t="s">
        <v>397</v>
      </c>
      <c r="J23" s="79" t="s">
        <v>1193</v>
      </c>
      <c r="K23" s="50">
        <v>1</v>
      </c>
      <c r="L23" s="50">
        <v>1</v>
      </c>
      <c r="M23" s="50" t="s">
        <v>1074</v>
      </c>
      <c r="N23" s="52" t="s">
        <v>712</v>
      </c>
      <c r="O23" s="50" t="s">
        <v>14</v>
      </c>
      <c r="P23" s="50"/>
      <c r="Q23" s="50" t="s">
        <v>21</v>
      </c>
      <c r="R23" s="50" t="s">
        <v>38</v>
      </c>
      <c r="S23" s="50"/>
      <c r="T23" s="50" t="s">
        <v>397</v>
      </c>
      <c r="U23" s="50" t="s">
        <v>374</v>
      </c>
      <c r="V23" s="50" t="s">
        <v>712</v>
      </c>
      <c r="W23" s="52" t="s">
        <v>712</v>
      </c>
      <c r="X23" s="52" t="s">
        <v>712</v>
      </c>
      <c r="Y23" s="50" t="s">
        <v>717</v>
      </c>
      <c r="Z23" s="72">
        <v>0</v>
      </c>
      <c r="AA23" s="72">
        <v>0</v>
      </c>
      <c r="AB23" s="72">
        <v>0</v>
      </c>
      <c r="AC23" s="72">
        <v>0</v>
      </c>
      <c r="AD23" s="109">
        <v>0</v>
      </c>
      <c r="AE23" s="118"/>
    </row>
    <row r="24" spans="2:31" s="57" customFormat="1" x14ac:dyDescent="0.2">
      <c r="B24" s="19">
        <v>22</v>
      </c>
      <c r="C24" s="18">
        <v>2</v>
      </c>
      <c r="D24" s="18">
        <v>110036930</v>
      </c>
      <c r="E24" s="18" t="str">
        <f t="shared" si="0"/>
        <v>110036930</v>
      </c>
      <c r="F24" s="27" t="s">
        <v>414</v>
      </c>
      <c r="G24" s="56" t="s">
        <v>44</v>
      </c>
      <c r="H24" s="55" t="s">
        <v>712</v>
      </c>
      <c r="I24" s="76" t="s">
        <v>397</v>
      </c>
      <c r="J24" s="76" t="s">
        <v>1193</v>
      </c>
      <c r="K24" s="18">
        <v>1</v>
      </c>
      <c r="L24" s="18">
        <v>1</v>
      </c>
      <c r="M24" s="18" t="s">
        <v>1095</v>
      </c>
      <c r="N24" s="56" t="s">
        <v>712</v>
      </c>
      <c r="O24" s="18" t="s">
        <v>14</v>
      </c>
      <c r="P24" s="18"/>
      <c r="Q24" s="18" t="s">
        <v>21</v>
      </c>
      <c r="R24" s="18" t="s">
        <v>38</v>
      </c>
      <c r="S24" s="18"/>
      <c r="T24" s="18" t="s">
        <v>354</v>
      </c>
      <c r="U24" s="18" t="s">
        <v>354</v>
      </c>
      <c r="V24" s="18" t="s">
        <v>712</v>
      </c>
      <c r="W24" s="56" t="s">
        <v>712</v>
      </c>
      <c r="X24" s="56" t="s">
        <v>712</v>
      </c>
      <c r="Y24" s="18" t="s">
        <v>717</v>
      </c>
      <c r="Z24" s="73">
        <v>0</v>
      </c>
      <c r="AA24" s="73">
        <v>0</v>
      </c>
      <c r="AB24" s="73">
        <v>0</v>
      </c>
      <c r="AC24" s="73">
        <v>0</v>
      </c>
      <c r="AD24" s="110">
        <v>0</v>
      </c>
      <c r="AE24" s="118"/>
    </row>
    <row r="25" spans="2:31" s="57" customFormat="1" x14ac:dyDescent="0.2">
      <c r="B25" s="19">
        <v>23</v>
      </c>
      <c r="C25" s="18">
        <v>3</v>
      </c>
      <c r="D25" s="18">
        <v>100213515</v>
      </c>
      <c r="E25" s="18" t="str">
        <f t="shared" si="0"/>
        <v>100213515</v>
      </c>
      <c r="F25" s="23" t="s">
        <v>500</v>
      </c>
      <c r="G25" s="56" t="s">
        <v>496</v>
      </c>
      <c r="H25" s="55" t="s">
        <v>712</v>
      </c>
      <c r="I25" s="76" t="s">
        <v>1224</v>
      </c>
      <c r="J25" s="76" t="s">
        <v>1137</v>
      </c>
      <c r="K25" s="18">
        <v>0</v>
      </c>
      <c r="L25" s="18">
        <v>0</v>
      </c>
      <c r="M25" s="18" t="s">
        <v>1095</v>
      </c>
      <c r="N25" s="56" t="s">
        <v>397</v>
      </c>
      <c r="O25" s="18"/>
      <c r="P25" s="18"/>
      <c r="Q25" s="18" t="s">
        <v>33</v>
      </c>
      <c r="R25" s="18"/>
      <c r="S25" s="18"/>
      <c r="T25" s="18"/>
      <c r="U25" s="18"/>
      <c r="V25" s="18"/>
      <c r="W25" s="56"/>
      <c r="X25" s="56"/>
      <c r="Y25" s="18"/>
      <c r="Z25" s="73"/>
      <c r="AA25" s="73"/>
      <c r="AB25" s="73"/>
      <c r="AC25" s="73"/>
      <c r="AD25" s="110"/>
      <c r="AE25" s="118"/>
    </row>
    <row r="26" spans="2:31" s="57" customFormat="1" x14ac:dyDescent="0.2">
      <c r="B26" s="19">
        <v>24</v>
      </c>
      <c r="C26" s="18">
        <v>4</v>
      </c>
      <c r="D26" s="22" t="s">
        <v>498</v>
      </c>
      <c r="E26" s="22" t="str">
        <f t="shared" si="0"/>
        <v>600001344</v>
      </c>
      <c r="F26" s="23" t="s">
        <v>500</v>
      </c>
      <c r="G26" s="102" t="s">
        <v>501</v>
      </c>
      <c r="H26" s="55" t="s">
        <v>712</v>
      </c>
      <c r="I26" s="76" t="s">
        <v>1224</v>
      </c>
      <c r="J26" s="76" t="s">
        <v>1137</v>
      </c>
      <c r="K26" s="18">
        <v>0</v>
      </c>
      <c r="L26" s="18">
        <v>0</v>
      </c>
      <c r="M26" s="18" t="s">
        <v>1094</v>
      </c>
      <c r="N26" s="56" t="s">
        <v>1137</v>
      </c>
      <c r="O26" s="18"/>
      <c r="P26" s="18"/>
      <c r="Q26" s="18" t="s">
        <v>33</v>
      </c>
      <c r="R26" s="18"/>
      <c r="S26" s="18"/>
      <c r="T26" s="18"/>
      <c r="U26" s="18"/>
      <c r="V26" s="18"/>
      <c r="W26" s="56"/>
      <c r="X26" s="56"/>
      <c r="Y26" s="18"/>
      <c r="Z26" s="73"/>
      <c r="AA26" s="73"/>
      <c r="AB26" s="73"/>
      <c r="AC26" s="73"/>
      <c r="AD26" s="110"/>
      <c r="AE26" s="118"/>
    </row>
    <row r="27" spans="2:31" s="57" customFormat="1" x14ac:dyDescent="0.2">
      <c r="B27" s="19">
        <v>25</v>
      </c>
      <c r="C27" s="18">
        <v>4</v>
      </c>
      <c r="D27" s="22" t="s">
        <v>499</v>
      </c>
      <c r="E27" s="22" t="str">
        <f t="shared" si="0"/>
        <v>860213518</v>
      </c>
      <c r="F27" s="23" t="s">
        <v>500</v>
      </c>
      <c r="G27" s="102" t="s">
        <v>502</v>
      </c>
      <c r="H27" s="55" t="s">
        <v>712</v>
      </c>
      <c r="I27" s="76" t="s">
        <v>1137</v>
      </c>
      <c r="J27" s="76" t="s">
        <v>1137</v>
      </c>
      <c r="K27" s="18">
        <v>0</v>
      </c>
      <c r="L27" s="18">
        <v>0</v>
      </c>
      <c r="M27" s="18" t="s">
        <v>1095</v>
      </c>
      <c r="N27" s="56" t="s">
        <v>1137</v>
      </c>
      <c r="O27" s="18"/>
      <c r="P27" s="18"/>
      <c r="Q27" s="18" t="s">
        <v>33</v>
      </c>
      <c r="R27" s="18"/>
      <c r="S27" s="18"/>
      <c r="T27" s="18"/>
      <c r="U27" s="18"/>
      <c r="V27" s="18"/>
      <c r="W27" s="56"/>
      <c r="X27" s="56"/>
      <c r="Y27" s="18"/>
      <c r="Z27" s="73"/>
      <c r="AA27" s="73"/>
      <c r="AB27" s="73"/>
      <c r="AC27" s="73"/>
      <c r="AD27" s="110"/>
      <c r="AE27" s="118"/>
    </row>
    <row r="28" spans="2:31" s="57" customFormat="1" x14ac:dyDescent="0.2">
      <c r="B28" s="15">
        <v>26</v>
      </c>
      <c r="C28" s="11">
        <v>3</v>
      </c>
      <c r="D28" s="11">
        <v>120213846</v>
      </c>
      <c r="E28" s="11" t="str">
        <f t="shared" si="0"/>
        <v>120213846</v>
      </c>
      <c r="F28" s="11" t="s">
        <v>415</v>
      </c>
      <c r="G28" s="48" t="s">
        <v>46</v>
      </c>
      <c r="H28" s="47" t="s">
        <v>712</v>
      </c>
      <c r="I28" s="77" t="s">
        <v>1137</v>
      </c>
      <c r="J28" s="77" t="s">
        <v>1137</v>
      </c>
      <c r="K28" s="11">
        <v>1</v>
      </c>
      <c r="L28" s="11">
        <v>1</v>
      </c>
      <c r="M28" s="11" t="s">
        <v>1094</v>
      </c>
      <c r="N28" s="48" t="s">
        <v>1193</v>
      </c>
      <c r="O28" s="11" t="s">
        <v>14</v>
      </c>
      <c r="P28" s="11"/>
      <c r="Q28" s="11" t="s">
        <v>21</v>
      </c>
      <c r="R28" s="11" t="s">
        <v>15</v>
      </c>
      <c r="S28" s="11"/>
      <c r="T28" s="11" t="s">
        <v>354</v>
      </c>
      <c r="U28" s="11" t="s">
        <v>354</v>
      </c>
      <c r="V28" s="11"/>
      <c r="W28" s="48"/>
      <c r="X28" s="48"/>
      <c r="Y28" s="11"/>
      <c r="Z28" s="70"/>
      <c r="AA28" s="70"/>
      <c r="AB28" s="70"/>
      <c r="AC28" s="70"/>
      <c r="AD28" s="108"/>
      <c r="AE28" s="118"/>
    </row>
    <row r="29" spans="2:31" s="57" customFormat="1" x14ac:dyDescent="0.2">
      <c r="B29" s="15">
        <v>27</v>
      </c>
      <c r="C29" s="11">
        <v>4</v>
      </c>
      <c r="D29" s="11">
        <v>120213350</v>
      </c>
      <c r="E29" s="11" t="str">
        <f t="shared" si="0"/>
        <v>120213350</v>
      </c>
      <c r="F29" s="11" t="s">
        <v>416</v>
      </c>
      <c r="G29" s="48" t="s">
        <v>48</v>
      </c>
      <c r="H29" s="47" t="s">
        <v>712</v>
      </c>
      <c r="I29" s="77" t="s">
        <v>1137</v>
      </c>
      <c r="J29" s="77" t="s">
        <v>1137</v>
      </c>
      <c r="K29" s="11">
        <v>1</v>
      </c>
      <c r="L29" s="11">
        <v>1</v>
      </c>
      <c r="M29" s="11" t="s">
        <v>1095</v>
      </c>
      <c r="N29" s="48" t="s">
        <v>1137</v>
      </c>
      <c r="O29" s="11" t="s">
        <v>14</v>
      </c>
      <c r="P29" s="11"/>
      <c r="Q29" s="11" t="s">
        <v>21</v>
      </c>
      <c r="R29" s="11" t="s">
        <v>15</v>
      </c>
      <c r="S29" s="11"/>
      <c r="T29" s="11" t="s">
        <v>354</v>
      </c>
      <c r="U29" s="11" t="s">
        <v>355</v>
      </c>
      <c r="V29" s="11"/>
      <c r="W29" s="48"/>
      <c r="X29" s="48"/>
      <c r="Y29" s="11"/>
      <c r="Z29" s="70"/>
      <c r="AA29" s="70"/>
      <c r="AB29" s="70"/>
      <c r="AC29" s="70"/>
      <c r="AD29" s="108"/>
      <c r="AE29" s="118"/>
    </row>
    <row r="30" spans="2:31" s="57" customFormat="1" x14ac:dyDescent="0.2">
      <c r="B30" s="12">
        <v>28</v>
      </c>
      <c r="C30" s="20">
        <v>5</v>
      </c>
      <c r="D30" s="20">
        <v>230213252</v>
      </c>
      <c r="E30" s="20" t="str">
        <f t="shared" si="0"/>
        <v>230213252</v>
      </c>
      <c r="F30" s="20" t="s">
        <v>417</v>
      </c>
      <c r="G30" s="59" t="s">
        <v>51</v>
      </c>
      <c r="H30" s="58" t="s">
        <v>788</v>
      </c>
      <c r="I30" s="78">
        <v>2902055</v>
      </c>
      <c r="J30" s="78" t="s">
        <v>1193</v>
      </c>
      <c r="K30" s="20">
        <v>1</v>
      </c>
      <c r="L30" s="20">
        <v>1</v>
      </c>
      <c r="M30" s="20" t="s">
        <v>1094</v>
      </c>
      <c r="N30" s="59" t="s">
        <v>719</v>
      </c>
      <c r="O30" s="20" t="s">
        <v>14</v>
      </c>
      <c r="P30" s="20"/>
      <c r="Q30" s="20" t="s">
        <v>21</v>
      </c>
      <c r="R30" s="20" t="s">
        <v>15</v>
      </c>
      <c r="S30" s="20"/>
      <c r="T30" s="20" t="s">
        <v>346</v>
      </c>
      <c r="U30" s="20" t="s">
        <v>346</v>
      </c>
      <c r="V30" s="20" t="s">
        <v>721</v>
      </c>
      <c r="W30" s="59" t="s">
        <v>828</v>
      </c>
      <c r="X30" s="59" t="s">
        <v>751</v>
      </c>
      <c r="Y30" s="20" t="s">
        <v>717</v>
      </c>
      <c r="Z30" s="71">
        <v>0</v>
      </c>
      <c r="AA30" s="71">
        <v>278300</v>
      </c>
      <c r="AB30" s="71">
        <v>278300</v>
      </c>
      <c r="AC30" s="71">
        <v>248000</v>
      </c>
      <c r="AD30" s="105">
        <f t="shared" ref="AD30:AD36" si="3">$AC30*$K30</f>
        <v>248000</v>
      </c>
      <c r="AE30" s="118"/>
    </row>
    <row r="31" spans="2:31" s="57" customFormat="1" ht="27" x14ac:dyDescent="0.2">
      <c r="B31" s="12">
        <v>29</v>
      </c>
      <c r="C31" s="20">
        <v>4</v>
      </c>
      <c r="D31" s="20">
        <v>4501116</v>
      </c>
      <c r="E31" s="20" t="str">
        <f t="shared" si="0"/>
        <v>4501116</v>
      </c>
      <c r="F31" s="20" t="s">
        <v>418</v>
      </c>
      <c r="G31" s="59" t="s">
        <v>52</v>
      </c>
      <c r="H31" s="58" t="s">
        <v>712</v>
      </c>
      <c r="I31" s="78" t="s">
        <v>1194</v>
      </c>
      <c r="J31" s="78" t="s">
        <v>1193</v>
      </c>
      <c r="K31" s="20">
        <v>2</v>
      </c>
      <c r="L31" s="20">
        <v>2</v>
      </c>
      <c r="M31" s="20" t="s">
        <v>1095</v>
      </c>
      <c r="N31" s="59" t="s">
        <v>712</v>
      </c>
      <c r="O31" s="20" t="s">
        <v>14</v>
      </c>
      <c r="P31" s="20"/>
      <c r="Q31" s="20" t="s">
        <v>18</v>
      </c>
      <c r="R31" s="20" t="s">
        <v>15</v>
      </c>
      <c r="S31" s="20"/>
      <c r="T31" s="20" t="s">
        <v>346</v>
      </c>
      <c r="U31" s="20" t="s">
        <v>346</v>
      </c>
      <c r="V31" s="20" t="s">
        <v>722</v>
      </c>
      <c r="W31" s="59" t="s">
        <v>815</v>
      </c>
      <c r="X31" s="59" t="s">
        <v>751</v>
      </c>
      <c r="Y31" s="20" t="s">
        <v>717</v>
      </c>
      <c r="Z31" s="71">
        <v>0</v>
      </c>
      <c r="AA31" s="71">
        <v>75</v>
      </c>
      <c r="AB31" s="71">
        <v>150</v>
      </c>
      <c r="AC31" s="71">
        <v>75</v>
      </c>
      <c r="AD31" s="105">
        <f t="shared" si="3"/>
        <v>150</v>
      </c>
      <c r="AE31" s="118"/>
    </row>
    <row r="32" spans="2:31" s="57" customFormat="1" x14ac:dyDescent="0.2">
      <c r="B32" s="12">
        <v>30</v>
      </c>
      <c r="C32" s="20">
        <v>4</v>
      </c>
      <c r="D32" s="20">
        <v>510000152</v>
      </c>
      <c r="E32" s="20" t="str">
        <f t="shared" si="0"/>
        <v>510000152</v>
      </c>
      <c r="F32" s="20" t="s">
        <v>419</v>
      </c>
      <c r="G32" s="59" t="s">
        <v>356</v>
      </c>
      <c r="H32" s="58" t="s">
        <v>788</v>
      </c>
      <c r="I32" s="78">
        <v>3200632</v>
      </c>
      <c r="J32" s="78" t="s">
        <v>1193</v>
      </c>
      <c r="K32" s="20">
        <v>4</v>
      </c>
      <c r="L32" s="20">
        <v>4</v>
      </c>
      <c r="M32" s="20" t="s">
        <v>1095</v>
      </c>
      <c r="N32" s="59" t="s">
        <v>719</v>
      </c>
      <c r="O32" s="20" t="s">
        <v>14</v>
      </c>
      <c r="P32" s="20"/>
      <c r="Q32" s="20" t="s">
        <v>55</v>
      </c>
      <c r="R32" s="20" t="s">
        <v>15</v>
      </c>
      <c r="S32" s="20"/>
      <c r="T32" s="20" t="s">
        <v>346</v>
      </c>
      <c r="U32" s="20" t="s">
        <v>346</v>
      </c>
      <c r="V32" s="20" t="s">
        <v>721</v>
      </c>
      <c r="W32" s="59" t="s">
        <v>828</v>
      </c>
      <c r="X32" s="59" t="s">
        <v>751</v>
      </c>
      <c r="Y32" s="20" t="s">
        <v>717</v>
      </c>
      <c r="Z32" s="71">
        <v>0</v>
      </c>
      <c r="AA32" s="71">
        <v>90</v>
      </c>
      <c r="AB32" s="71">
        <v>360</v>
      </c>
      <c r="AC32" s="71">
        <v>80</v>
      </c>
      <c r="AD32" s="105">
        <f t="shared" si="3"/>
        <v>320</v>
      </c>
      <c r="AE32" s="118"/>
    </row>
    <row r="33" spans="2:31" s="57" customFormat="1" x14ac:dyDescent="0.2">
      <c r="B33" s="12">
        <v>31</v>
      </c>
      <c r="C33" s="20">
        <v>4</v>
      </c>
      <c r="D33" s="20">
        <v>5101302</v>
      </c>
      <c r="E33" s="20" t="str">
        <f t="shared" si="0"/>
        <v>5101302</v>
      </c>
      <c r="F33" s="20" t="s">
        <v>420</v>
      </c>
      <c r="G33" s="59" t="s">
        <v>57</v>
      </c>
      <c r="H33" s="58" t="s">
        <v>1100</v>
      </c>
      <c r="I33" s="78" t="s">
        <v>1195</v>
      </c>
      <c r="J33" s="78" t="s">
        <v>1193</v>
      </c>
      <c r="K33" s="20">
        <v>1</v>
      </c>
      <c r="L33" s="20">
        <v>1</v>
      </c>
      <c r="M33" s="20" t="s">
        <v>1096</v>
      </c>
      <c r="N33" s="59" t="s">
        <v>712</v>
      </c>
      <c r="O33" s="20" t="s">
        <v>14</v>
      </c>
      <c r="P33" s="20"/>
      <c r="Q33" s="20" t="s">
        <v>21</v>
      </c>
      <c r="R33" s="20" t="s">
        <v>15</v>
      </c>
      <c r="S33" s="20"/>
      <c r="T33" s="20" t="s">
        <v>346</v>
      </c>
      <c r="U33" s="20" t="s">
        <v>346</v>
      </c>
      <c r="V33" s="20" t="s">
        <v>1246</v>
      </c>
      <c r="W33" s="59" t="s">
        <v>816</v>
      </c>
      <c r="X33" s="59" t="s">
        <v>752</v>
      </c>
      <c r="Y33" s="20" t="s">
        <v>717</v>
      </c>
      <c r="Z33" s="71">
        <v>0</v>
      </c>
      <c r="AA33" s="71">
        <v>600</v>
      </c>
      <c r="AB33" s="71">
        <v>600</v>
      </c>
      <c r="AC33" s="71">
        <v>600</v>
      </c>
      <c r="AD33" s="105">
        <f t="shared" si="3"/>
        <v>600</v>
      </c>
      <c r="AE33" s="118"/>
    </row>
    <row r="34" spans="2:31" s="57" customFormat="1" x14ac:dyDescent="0.2">
      <c r="B34" s="12">
        <v>32</v>
      </c>
      <c r="C34" s="20">
        <v>4</v>
      </c>
      <c r="D34" s="20">
        <v>5101522</v>
      </c>
      <c r="E34" s="20" t="str">
        <f t="shared" si="0"/>
        <v>5101522</v>
      </c>
      <c r="F34" s="20" t="s">
        <v>421</v>
      </c>
      <c r="G34" s="59" t="s">
        <v>59</v>
      </c>
      <c r="H34" s="58" t="s">
        <v>1100</v>
      </c>
      <c r="I34" s="78" t="s">
        <v>1099</v>
      </c>
      <c r="J34" s="78" t="s">
        <v>1193</v>
      </c>
      <c r="K34" s="20">
        <v>4</v>
      </c>
      <c r="L34" s="20">
        <v>4</v>
      </c>
      <c r="M34" s="20" t="s">
        <v>1095</v>
      </c>
      <c r="N34" s="59" t="s">
        <v>718</v>
      </c>
      <c r="O34" s="20" t="s">
        <v>14</v>
      </c>
      <c r="P34" s="20"/>
      <c r="Q34" s="20" t="s">
        <v>55</v>
      </c>
      <c r="R34" s="20" t="s">
        <v>15</v>
      </c>
      <c r="S34" s="20"/>
      <c r="T34" s="20" t="s">
        <v>346</v>
      </c>
      <c r="U34" s="20" t="s">
        <v>346</v>
      </c>
      <c r="V34" s="20" t="s">
        <v>1247</v>
      </c>
      <c r="W34" s="59" t="s">
        <v>816</v>
      </c>
      <c r="X34" s="59" t="s">
        <v>751</v>
      </c>
      <c r="Y34" s="20" t="s">
        <v>717</v>
      </c>
      <c r="Z34" s="71">
        <v>0</v>
      </c>
      <c r="AA34" s="71">
        <v>120</v>
      </c>
      <c r="AB34" s="71">
        <v>480</v>
      </c>
      <c r="AC34" s="71">
        <v>120</v>
      </c>
      <c r="AD34" s="105">
        <f t="shared" si="3"/>
        <v>480</v>
      </c>
      <c r="AE34" s="118"/>
    </row>
    <row r="35" spans="2:31" s="57" customFormat="1" x14ac:dyDescent="0.2">
      <c r="B35" s="12">
        <v>33</v>
      </c>
      <c r="C35" s="20">
        <v>4</v>
      </c>
      <c r="D35" s="20">
        <v>5101967</v>
      </c>
      <c r="E35" s="20" t="str">
        <f t="shared" si="0"/>
        <v>5101967</v>
      </c>
      <c r="F35" s="20" t="s">
        <v>422</v>
      </c>
      <c r="G35" s="59" t="s">
        <v>61</v>
      </c>
      <c r="H35" s="58" t="s">
        <v>786</v>
      </c>
      <c r="I35" s="78" t="s">
        <v>1216</v>
      </c>
      <c r="J35" s="78" t="s">
        <v>1193</v>
      </c>
      <c r="K35" s="20">
        <v>2</v>
      </c>
      <c r="L35" s="20">
        <v>2</v>
      </c>
      <c r="M35" s="20" t="s">
        <v>1095</v>
      </c>
      <c r="N35" s="59" t="s">
        <v>712</v>
      </c>
      <c r="O35" s="20" t="s">
        <v>14</v>
      </c>
      <c r="P35" s="20"/>
      <c r="Q35" s="20" t="s">
        <v>18</v>
      </c>
      <c r="R35" s="20" t="s">
        <v>15</v>
      </c>
      <c r="S35" s="20"/>
      <c r="T35" s="20" t="s">
        <v>353</v>
      </c>
      <c r="U35" s="20" t="s">
        <v>346</v>
      </c>
      <c r="V35" s="20" t="s">
        <v>1247</v>
      </c>
      <c r="W35" s="59" t="s">
        <v>816</v>
      </c>
      <c r="X35" s="59" t="s">
        <v>753</v>
      </c>
      <c r="Y35" s="20" t="s">
        <v>717</v>
      </c>
      <c r="Z35" s="71">
        <v>0</v>
      </c>
      <c r="AA35" s="71">
        <v>2800</v>
      </c>
      <c r="AB35" s="71">
        <v>5600</v>
      </c>
      <c r="AC35" s="71">
        <v>2800</v>
      </c>
      <c r="AD35" s="105">
        <f t="shared" si="3"/>
        <v>5600</v>
      </c>
      <c r="AE35" s="118"/>
    </row>
    <row r="36" spans="2:31" s="57" customFormat="1" x14ac:dyDescent="0.2">
      <c r="B36" s="12">
        <v>34</v>
      </c>
      <c r="C36" s="20">
        <v>4</v>
      </c>
      <c r="D36" s="20">
        <v>7700325</v>
      </c>
      <c r="E36" s="20" t="str">
        <f t="shared" si="0"/>
        <v>7700325</v>
      </c>
      <c r="F36" s="20" t="s">
        <v>423</v>
      </c>
      <c r="G36" s="59" t="s">
        <v>63</v>
      </c>
      <c r="H36" s="58" t="s">
        <v>1101</v>
      </c>
      <c r="I36" s="78">
        <v>9503</v>
      </c>
      <c r="J36" s="78" t="s">
        <v>1193</v>
      </c>
      <c r="K36" s="20">
        <v>0.8</v>
      </c>
      <c r="L36" s="20">
        <v>0.8</v>
      </c>
      <c r="M36" s="20" t="s">
        <v>1095</v>
      </c>
      <c r="N36" s="59" t="s">
        <v>720</v>
      </c>
      <c r="O36" s="20" t="s">
        <v>14</v>
      </c>
      <c r="P36" s="20"/>
      <c r="Q36" s="20" t="s">
        <v>64</v>
      </c>
      <c r="R36" s="20" t="s">
        <v>15</v>
      </c>
      <c r="S36" s="20"/>
      <c r="T36" s="20" t="s">
        <v>346</v>
      </c>
      <c r="U36" s="20" t="s">
        <v>357</v>
      </c>
      <c r="V36" s="20" t="s">
        <v>721</v>
      </c>
      <c r="W36" s="59" t="s">
        <v>810</v>
      </c>
      <c r="X36" s="59" t="s">
        <v>754</v>
      </c>
      <c r="Y36" s="20" t="s">
        <v>717</v>
      </c>
      <c r="Z36" s="71">
        <v>0</v>
      </c>
      <c r="AA36" s="71">
        <v>3920</v>
      </c>
      <c r="AB36" s="71">
        <v>3920</v>
      </c>
      <c r="AC36" s="71">
        <v>20000</v>
      </c>
      <c r="AD36" s="105">
        <f t="shared" si="3"/>
        <v>16000</v>
      </c>
      <c r="AE36" s="118"/>
    </row>
    <row r="37" spans="2:31" s="57" customFormat="1" x14ac:dyDescent="0.2">
      <c r="B37" s="15">
        <v>35</v>
      </c>
      <c r="C37" s="11">
        <v>3</v>
      </c>
      <c r="D37" s="11">
        <v>120213847</v>
      </c>
      <c r="E37" s="11" t="str">
        <f t="shared" si="0"/>
        <v>120213847</v>
      </c>
      <c r="F37" s="11" t="s">
        <v>424</v>
      </c>
      <c r="G37" s="48" t="s">
        <v>66</v>
      </c>
      <c r="H37" s="47" t="s">
        <v>712</v>
      </c>
      <c r="I37" s="77" t="s">
        <v>1137</v>
      </c>
      <c r="J37" s="77" t="s">
        <v>1137</v>
      </c>
      <c r="K37" s="11">
        <v>1</v>
      </c>
      <c r="L37" s="11">
        <v>1</v>
      </c>
      <c r="M37" s="11" t="s">
        <v>1094</v>
      </c>
      <c r="N37" s="48" t="s">
        <v>1137</v>
      </c>
      <c r="O37" s="11" t="s">
        <v>14</v>
      </c>
      <c r="P37" s="11"/>
      <c r="Q37" s="11" t="s">
        <v>21</v>
      </c>
      <c r="R37" s="11" t="s">
        <v>15</v>
      </c>
      <c r="S37" s="11"/>
      <c r="T37" s="11" t="s">
        <v>354</v>
      </c>
      <c r="U37" s="11" t="s">
        <v>354</v>
      </c>
      <c r="V37" s="11"/>
      <c r="W37" s="48"/>
      <c r="X37" s="48"/>
      <c r="Y37" s="11"/>
      <c r="Z37" s="70"/>
      <c r="AA37" s="70"/>
      <c r="AB37" s="70"/>
      <c r="AC37" s="70"/>
      <c r="AD37" s="108"/>
      <c r="AE37" s="118"/>
    </row>
    <row r="38" spans="2:31" s="57" customFormat="1" x14ac:dyDescent="0.2">
      <c r="B38" s="15">
        <v>36</v>
      </c>
      <c r="C38" s="11">
        <v>4</v>
      </c>
      <c r="D38" s="11">
        <v>120213350</v>
      </c>
      <c r="E38" s="11" t="str">
        <f t="shared" si="0"/>
        <v>120213350</v>
      </c>
      <c r="F38" s="11" t="s">
        <v>416</v>
      </c>
      <c r="G38" s="48" t="s">
        <v>48</v>
      </c>
      <c r="H38" s="47" t="s">
        <v>712</v>
      </c>
      <c r="I38" s="77" t="s">
        <v>1137</v>
      </c>
      <c r="J38" s="77" t="s">
        <v>1137</v>
      </c>
      <c r="K38" s="11">
        <v>1</v>
      </c>
      <c r="L38" s="11">
        <v>1</v>
      </c>
      <c r="M38" s="11" t="s">
        <v>1097</v>
      </c>
      <c r="N38" s="48" t="s">
        <v>397</v>
      </c>
      <c r="O38" s="11" t="s">
        <v>14</v>
      </c>
      <c r="P38" s="11"/>
      <c r="Q38" s="11" t="s">
        <v>21</v>
      </c>
      <c r="R38" s="11" t="s">
        <v>15</v>
      </c>
      <c r="S38" s="11"/>
      <c r="T38" s="11" t="s">
        <v>354</v>
      </c>
      <c r="U38" s="11" t="s">
        <v>355</v>
      </c>
      <c r="V38" s="11"/>
      <c r="W38" s="48"/>
      <c r="X38" s="48"/>
      <c r="Y38" s="11"/>
      <c r="Z38" s="70"/>
      <c r="AA38" s="70"/>
      <c r="AB38" s="70"/>
      <c r="AC38" s="70"/>
      <c r="AD38" s="108"/>
      <c r="AE38" s="118"/>
    </row>
    <row r="39" spans="2:31" s="57" customFormat="1" x14ac:dyDescent="0.2">
      <c r="B39" s="12">
        <v>37</v>
      </c>
      <c r="C39" s="20">
        <v>5</v>
      </c>
      <c r="D39" s="20">
        <v>230213252</v>
      </c>
      <c r="E39" s="20" t="str">
        <f t="shared" si="0"/>
        <v>230213252</v>
      </c>
      <c r="F39" s="20" t="s">
        <v>417</v>
      </c>
      <c r="G39" s="59" t="s">
        <v>51</v>
      </c>
      <c r="H39" s="58" t="s">
        <v>788</v>
      </c>
      <c r="I39" s="78">
        <v>2902055</v>
      </c>
      <c r="J39" s="78" t="s">
        <v>1193</v>
      </c>
      <c r="K39" s="20">
        <v>1</v>
      </c>
      <c r="L39" s="20">
        <v>1</v>
      </c>
      <c r="M39" s="20" t="s">
        <v>1095</v>
      </c>
      <c r="N39" s="59" t="s">
        <v>719</v>
      </c>
      <c r="O39" s="20" t="s">
        <v>14</v>
      </c>
      <c r="P39" s="20"/>
      <c r="Q39" s="20" t="s">
        <v>21</v>
      </c>
      <c r="R39" s="20" t="s">
        <v>15</v>
      </c>
      <c r="S39" s="20"/>
      <c r="T39" s="20" t="s">
        <v>346</v>
      </c>
      <c r="U39" s="20" t="s">
        <v>346</v>
      </c>
      <c r="V39" s="20" t="s">
        <v>721</v>
      </c>
      <c r="W39" s="59" t="s">
        <v>828</v>
      </c>
      <c r="X39" s="59" t="s">
        <v>751</v>
      </c>
      <c r="Y39" s="20" t="s">
        <v>717</v>
      </c>
      <c r="Z39" s="71">
        <v>0</v>
      </c>
      <c r="AA39" s="71">
        <v>278300</v>
      </c>
      <c r="AB39" s="71">
        <v>278300</v>
      </c>
      <c r="AC39" s="71">
        <v>248000</v>
      </c>
      <c r="AD39" s="105">
        <f t="shared" ref="AD39:AD50" si="4">$AC39*$K39</f>
        <v>248000</v>
      </c>
      <c r="AE39" s="118"/>
    </row>
    <row r="40" spans="2:31" s="57" customFormat="1" ht="27" x14ac:dyDescent="0.2">
      <c r="B40" s="12">
        <v>38</v>
      </c>
      <c r="C40" s="20">
        <v>4</v>
      </c>
      <c r="D40" s="20">
        <v>4501116</v>
      </c>
      <c r="E40" s="20" t="str">
        <f t="shared" si="0"/>
        <v>4501116</v>
      </c>
      <c r="F40" s="20" t="s">
        <v>418</v>
      </c>
      <c r="G40" s="59" t="s">
        <v>52</v>
      </c>
      <c r="H40" s="58" t="s">
        <v>712</v>
      </c>
      <c r="I40" s="78" t="s">
        <v>1194</v>
      </c>
      <c r="J40" s="78" t="s">
        <v>1193</v>
      </c>
      <c r="K40" s="20">
        <v>2</v>
      </c>
      <c r="L40" s="20">
        <v>2</v>
      </c>
      <c r="M40" s="20" t="s">
        <v>1095</v>
      </c>
      <c r="N40" s="59" t="s">
        <v>712</v>
      </c>
      <c r="O40" s="20" t="s">
        <v>14</v>
      </c>
      <c r="P40" s="20"/>
      <c r="Q40" s="20" t="s">
        <v>18</v>
      </c>
      <c r="R40" s="20" t="s">
        <v>15</v>
      </c>
      <c r="S40" s="20"/>
      <c r="T40" s="20" t="s">
        <v>346</v>
      </c>
      <c r="U40" s="20" t="s">
        <v>346</v>
      </c>
      <c r="V40" s="20" t="s">
        <v>722</v>
      </c>
      <c r="W40" s="59" t="s">
        <v>815</v>
      </c>
      <c r="X40" s="59" t="s">
        <v>751</v>
      </c>
      <c r="Y40" s="20" t="s">
        <v>717</v>
      </c>
      <c r="Z40" s="71">
        <v>0</v>
      </c>
      <c r="AA40" s="71">
        <v>75</v>
      </c>
      <c r="AB40" s="71">
        <v>150</v>
      </c>
      <c r="AC40" s="71">
        <v>75</v>
      </c>
      <c r="AD40" s="105">
        <f t="shared" si="4"/>
        <v>150</v>
      </c>
      <c r="AE40" s="118"/>
    </row>
    <row r="41" spans="2:31" s="57" customFormat="1" x14ac:dyDescent="0.2">
      <c r="B41" s="12">
        <v>39</v>
      </c>
      <c r="C41" s="20">
        <v>4</v>
      </c>
      <c r="D41" s="20">
        <v>510000152</v>
      </c>
      <c r="E41" s="20" t="str">
        <f t="shared" si="0"/>
        <v>510000152</v>
      </c>
      <c r="F41" s="20" t="s">
        <v>419</v>
      </c>
      <c r="G41" s="59" t="s">
        <v>54</v>
      </c>
      <c r="H41" s="58" t="s">
        <v>788</v>
      </c>
      <c r="I41" s="78">
        <v>3200632</v>
      </c>
      <c r="J41" s="78" t="s">
        <v>1193</v>
      </c>
      <c r="K41" s="20">
        <v>4</v>
      </c>
      <c r="L41" s="20">
        <v>4</v>
      </c>
      <c r="M41" s="20" t="s">
        <v>1095</v>
      </c>
      <c r="N41" s="59" t="s">
        <v>719</v>
      </c>
      <c r="O41" s="20" t="s">
        <v>14</v>
      </c>
      <c r="P41" s="20"/>
      <c r="Q41" s="20" t="s">
        <v>55</v>
      </c>
      <c r="R41" s="20" t="s">
        <v>15</v>
      </c>
      <c r="S41" s="20"/>
      <c r="T41" s="20" t="s">
        <v>346</v>
      </c>
      <c r="U41" s="20" t="s">
        <v>346</v>
      </c>
      <c r="V41" s="20" t="s">
        <v>721</v>
      </c>
      <c r="W41" s="59" t="s">
        <v>828</v>
      </c>
      <c r="X41" s="59" t="s">
        <v>751</v>
      </c>
      <c r="Y41" s="20" t="s">
        <v>717</v>
      </c>
      <c r="Z41" s="71">
        <v>0</v>
      </c>
      <c r="AA41" s="71">
        <v>90</v>
      </c>
      <c r="AB41" s="71">
        <v>360</v>
      </c>
      <c r="AC41" s="71">
        <v>80</v>
      </c>
      <c r="AD41" s="105">
        <f t="shared" si="4"/>
        <v>320</v>
      </c>
      <c r="AE41" s="118"/>
    </row>
    <row r="42" spans="2:31" s="57" customFormat="1" x14ac:dyDescent="0.2">
      <c r="B42" s="12">
        <v>40</v>
      </c>
      <c r="C42" s="20">
        <v>4</v>
      </c>
      <c r="D42" s="20">
        <v>5101302</v>
      </c>
      <c r="E42" s="20" t="str">
        <f t="shared" si="0"/>
        <v>5101302</v>
      </c>
      <c r="F42" s="20" t="s">
        <v>420</v>
      </c>
      <c r="G42" s="59" t="s">
        <v>57</v>
      </c>
      <c r="H42" s="58" t="s">
        <v>1100</v>
      </c>
      <c r="I42" s="78" t="s">
        <v>1195</v>
      </c>
      <c r="J42" s="78" t="s">
        <v>1193</v>
      </c>
      <c r="K42" s="20">
        <v>1</v>
      </c>
      <c r="L42" s="20">
        <v>1</v>
      </c>
      <c r="M42" s="20" t="s">
        <v>1094</v>
      </c>
      <c r="N42" s="59" t="s">
        <v>712</v>
      </c>
      <c r="O42" s="20" t="s">
        <v>14</v>
      </c>
      <c r="P42" s="20"/>
      <c r="Q42" s="20" t="s">
        <v>21</v>
      </c>
      <c r="R42" s="20" t="s">
        <v>15</v>
      </c>
      <c r="S42" s="20"/>
      <c r="T42" s="20" t="s">
        <v>346</v>
      </c>
      <c r="U42" s="20" t="s">
        <v>346</v>
      </c>
      <c r="V42" s="20" t="s">
        <v>1247</v>
      </c>
      <c r="W42" s="59" t="s">
        <v>816</v>
      </c>
      <c r="X42" s="59" t="s">
        <v>752</v>
      </c>
      <c r="Y42" s="20" t="s">
        <v>717</v>
      </c>
      <c r="Z42" s="71">
        <v>0</v>
      </c>
      <c r="AA42" s="71">
        <v>600</v>
      </c>
      <c r="AB42" s="71">
        <v>600</v>
      </c>
      <c r="AC42" s="71">
        <v>600</v>
      </c>
      <c r="AD42" s="105">
        <f t="shared" si="4"/>
        <v>600</v>
      </c>
      <c r="AE42" s="118"/>
    </row>
    <row r="43" spans="2:31" s="57" customFormat="1" x14ac:dyDescent="0.2">
      <c r="B43" s="12">
        <v>41</v>
      </c>
      <c r="C43" s="20">
        <v>4</v>
      </c>
      <c r="D43" s="20">
        <v>5101522</v>
      </c>
      <c r="E43" s="20" t="str">
        <f t="shared" si="0"/>
        <v>5101522</v>
      </c>
      <c r="F43" s="20" t="s">
        <v>421</v>
      </c>
      <c r="G43" s="59" t="s">
        <v>59</v>
      </c>
      <c r="H43" s="58" t="s">
        <v>1100</v>
      </c>
      <c r="I43" s="78" t="s">
        <v>1099</v>
      </c>
      <c r="J43" s="78" t="s">
        <v>1193</v>
      </c>
      <c r="K43" s="20">
        <v>4</v>
      </c>
      <c r="L43" s="20">
        <v>4</v>
      </c>
      <c r="M43" s="20" t="s">
        <v>1094</v>
      </c>
      <c r="N43" s="59" t="s">
        <v>718</v>
      </c>
      <c r="O43" s="20" t="s">
        <v>14</v>
      </c>
      <c r="P43" s="20"/>
      <c r="Q43" s="20" t="s">
        <v>55</v>
      </c>
      <c r="R43" s="20" t="s">
        <v>15</v>
      </c>
      <c r="S43" s="20"/>
      <c r="T43" s="20" t="s">
        <v>346</v>
      </c>
      <c r="U43" s="20" t="s">
        <v>346</v>
      </c>
      <c r="V43" s="20" t="s">
        <v>1247</v>
      </c>
      <c r="W43" s="59" t="s">
        <v>816</v>
      </c>
      <c r="X43" s="59" t="s">
        <v>751</v>
      </c>
      <c r="Y43" s="20" t="s">
        <v>717</v>
      </c>
      <c r="Z43" s="71">
        <v>0</v>
      </c>
      <c r="AA43" s="71">
        <v>120</v>
      </c>
      <c r="AB43" s="71">
        <v>480</v>
      </c>
      <c r="AC43" s="71">
        <v>120</v>
      </c>
      <c r="AD43" s="105">
        <f t="shared" si="4"/>
        <v>480</v>
      </c>
      <c r="AE43" s="118"/>
    </row>
    <row r="44" spans="2:31" s="57" customFormat="1" x14ac:dyDescent="0.2">
      <c r="B44" s="12">
        <v>42</v>
      </c>
      <c r="C44" s="20">
        <v>4</v>
      </c>
      <c r="D44" s="20">
        <v>5101967</v>
      </c>
      <c r="E44" s="20" t="str">
        <f t="shared" si="0"/>
        <v>5101967</v>
      </c>
      <c r="F44" s="20" t="s">
        <v>422</v>
      </c>
      <c r="G44" s="59" t="s">
        <v>61</v>
      </c>
      <c r="H44" s="58" t="s">
        <v>786</v>
      </c>
      <c r="I44" s="78" t="s">
        <v>1216</v>
      </c>
      <c r="J44" s="78" t="s">
        <v>1193</v>
      </c>
      <c r="K44" s="20">
        <v>2</v>
      </c>
      <c r="L44" s="20">
        <v>2</v>
      </c>
      <c r="M44" s="20" t="s">
        <v>1094</v>
      </c>
      <c r="N44" s="59" t="s">
        <v>712</v>
      </c>
      <c r="O44" s="20" t="s">
        <v>14</v>
      </c>
      <c r="P44" s="20"/>
      <c r="Q44" s="20" t="s">
        <v>18</v>
      </c>
      <c r="R44" s="20" t="s">
        <v>15</v>
      </c>
      <c r="S44" s="20"/>
      <c r="T44" s="20" t="s">
        <v>346</v>
      </c>
      <c r="U44" s="20" t="s">
        <v>346</v>
      </c>
      <c r="V44" s="20" t="s">
        <v>1248</v>
      </c>
      <c r="W44" s="59" t="s">
        <v>816</v>
      </c>
      <c r="X44" s="59" t="s">
        <v>753</v>
      </c>
      <c r="Y44" s="20" t="s">
        <v>717</v>
      </c>
      <c r="Z44" s="71">
        <v>0</v>
      </c>
      <c r="AA44" s="71">
        <v>2800</v>
      </c>
      <c r="AB44" s="71">
        <v>5600</v>
      </c>
      <c r="AC44" s="71">
        <v>2800</v>
      </c>
      <c r="AD44" s="105">
        <f t="shared" si="4"/>
        <v>5600</v>
      </c>
      <c r="AE44" s="118"/>
    </row>
    <row r="45" spans="2:31" s="57" customFormat="1" x14ac:dyDescent="0.2">
      <c r="B45" s="12">
        <v>43</v>
      </c>
      <c r="C45" s="20">
        <v>4</v>
      </c>
      <c r="D45" s="20">
        <v>7700325</v>
      </c>
      <c r="E45" s="20" t="str">
        <f t="shared" si="0"/>
        <v>7700325</v>
      </c>
      <c r="F45" s="20" t="s">
        <v>423</v>
      </c>
      <c r="G45" s="59" t="s">
        <v>63</v>
      </c>
      <c r="H45" s="58" t="s">
        <v>1101</v>
      </c>
      <c r="I45" s="78">
        <v>9503</v>
      </c>
      <c r="J45" s="78" t="s">
        <v>1193</v>
      </c>
      <c r="K45" s="20">
        <v>0.8</v>
      </c>
      <c r="L45" s="20">
        <v>0.8</v>
      </c>
      <c r="M45" s="20" t="s">
        <v>1095</v>
      </c>
      <c r="N45" s="59" t="s">
        <v>720</v>
      </c>
      <c r="O45" s="20" t="s">
        <v>14</v>
      </c>
      <c r="P45" s="20"/>
      <c r="Q45" s="20" t="s">
        <v>64</v>
      </c>
      <c r="R45" s="20" t="s">
        <v>15</v>
      </c>
      <c r="S45" s="20"/>
      <c r="T45" s="20" t="s">
        <v>346</v>
      </c>
      <c r="U45" s="20" t="s">
        <v>357</v>
      </c>
      <c r="V45" s="20" t="s">
        <v>721</v>
      </c>
      <c r="W45" s="59" t="s">
        <v>810</v>
      </c>
      <c r="X45" s="59" t="s">
        <v>754</v>
      </c>
      <c r="Y45" s="20" t="s">
        <v>717</v>
      </c>
      <c r="Z45" s="71">
        <v>0</v>
      </c>
      <c r="AA45" s="71">
        <v>3920</v>
      </c>
      <c r="AB45" s="71">
        <v>3920</v>
      </c>
      <c r="AC45" s="71">
        <v>20000</v>
      </c>
      <c r="AD45" s="105">
        <f t="shared" si="4"/>
        <v>16000</v>
      </c>
      <c r="AE45" s="118"/>
    </row>
    <row r="46" spans="2:31" s="60" customFormat="1" x14ac:dyDescent="0.2">
      <c r="B46" s="12">
        <v>44</v>
      </c>
      <c r="C46" s="20">
        <v>3</v>
      </c>
      <c r="D46" s="20">
        <v>190002360</v>
      </c>
      <c r="E46" s="20" t="str">
        <f t="shared" si="0"/>
        <v>190002360</v>
      </c>
      <c r="F46" s="20" t="s">
        <v>412</v>
      </c>
      <c r="G46" s="59" t="s">
        <v>67</v>
      </c>
      <c r="H46" s="58" t="s">
        <v>772</v>
      </c>
      <c r="I46" s="78" t="s">
        <v>397</v>
      </c>
      <c r="J46" s="78" t="s">
        <v>1193</v>
      </c>
      <c r="K46" s="20">
        <v>1</v>
      </c>
      <c r="L46" s="20">
        <v>1</v>
      </c>
      <c r="M46" s="20" t="s">
        <v>1095</v>
      </c>
      <c r="N46" s="59" t="s">
        <v>712</v>
      </c>
      <c r="O46" s="20" t="s">
        <v>68</v>
      </c>
      <c r="P46" s="20"/>
      <c r="Q46" s="20" t="s">
        <v>21</v>
      </c>
      <c r="R46" s="20" t="s">
        <v>15</v>
      </c>
      <c r="S46" s="20"/>
      <c r="T46" s="20" t="s">
        <v>346</v>
      </c>
      <c r="U46" s="20" t="s">
        <v>346</v>
      </c>
      <c r="V46" s="20" t="s">
        <v>738</v>
      </c>
      <c r="W46" s="59" t="s">
        <v>809</v>
      </c>
      <c r="X46" s="59" t="s">
        <v>755</v>
      </c>
      <c r="Y46" s="20" t="s">
        <v>717</v>
      </c>
      <c r="Z46" s="71">
        <v>0</v>
      </c>
      <c r="AA46" s="71">
        <v>371650</v>
      </c>
      <c r="AB46" s="71">
        <v>371650</v>
      </c>
      <c r="AC46" s="71">
        <v>371650</v>
      </c>
      <c r="AD46" s="110">
        <f t="shared" si="4"/>
        <v>371650</v>
      </c>
      <c r="AE46" s="118" t="s">
        <v>1263</v>
      </c>
    </row>
    <row r="47" spans="2:31" s="57" customFormat="1" x14ac:dyDescent="0.2">
      <c r="B47" s="12">
        <v>45</v>
      </c>
      <c r="C47" s="20">
        <v>3</v>
      </c>
      <c r="D47" s="20">
        <v>500000271</v>
      </c>
      <c r="E47" s="20" t="str">
        <f t="shared" si="0"/>
        <v>500000271</v>
      </c>
      <c r="F47" s="20" t="s">
        <v>410</v>
      </c>
      <c r="G47" s="59" t="s">
        <v>69</v>
      </c>
      <c r="H47" s="58" t="s">
        <v>759</v>
      </c>
      <c r="I47" s="78" t="s">
        <v>1196</v>
      </c>
      <c r="J47" s="78" t="s">
        <v>1193</v>
      </c>
      <c r="K47" s="20">
        <v>2</v>
      </c>
      <c r="L47" s="20">
        <v>2</v>
      </c>
      <c r="M47" s="20" t="s">
        <v>1096</v>
      </c>
      <c r="N47" s="59" t="s">
        <v>712</v>
      </c>
      <c r="O47" s="20" t="s">
        <v>70</v>
      </c>
      <c r="P47" s="20"/>
      <c r="Q47" s="20" t="s">
        <v>18</v>
      </c>
      <c r="R47" s="20" t="s">
        <v>15</v>
      </c>
      <c r="S47" s="20"/>
      <c r="T47" s="20" t="s">
        <v>346</v>
      </c>
      <c r="U47" s="20" t="s">
        <v>346</v>
      </c>
      <c r="V47" s="20" t="s">
        <v>1247</v>
      </c>
      <c r="W47" s="59" t="s">
        <v>817</v>
      </c>
      <c r="X47" s="59" t="s">
        <v>756</v>
      </c>
      <c r="Y47" s="20" t="s">
        <v>717</v>
      </c>
      <c r="Z47" s="71">
        <v>0</v>
      </c>
      <c r="AA47" s="71">
        <v>580750</v>
      </c>
      <c r="AB47" s="71">
        <v>1161500</v>
      </c>
      <c r="AC47" s="71">
        <v>580750</v>
      </c>
      <c r="AD47" s="105">
        <f t="shared" si="4"/>
        <v>1161500</v>
      </c>
      <c r="AE47" s="118"/>
    </row>
    <row r="48" spans="2:31" s="57" customFormat="1" x14ac:dyDescent="0.2">
      <c r="B48" s="12">
        <v>46</v>
      </c>
      <c r="C48" s="20">
        <v>3</v>
      </c>
      <c r="D48" s="20">
        <v>500001392</v>
      </c>
      <c r="E48" s="20" t="str">
        <f t="shared" si="0"/>
        <v>500001392</v>
      </c>
      <c r="F48" s="20" t="s">
        <v>410</v>
      </c>
      <c r="G48" s="59" t="s">
        <v>71</v>
      </c>
      <c r="H48" s="58" t="s">
        <v>788</v>
      </c>
      <c r="I48" s="78">
        <v>801733</v>
      </c>
      <c r="J48" s="78" t="s">
        <v>1193</v>
      </c>
      <c r="K48" s="20">
        <v>1</v>
      </c>
      <c r="L48" s="20">
        <v>1</v>
      </c>
      <c r="M48" s="20" t="s">
        <v>1095</v>
      </c>
      <c r="N48" s="59" t="s">
        <v>718</v>
      </c>
      <c r="O48" s="20" t="s">
        <v>72</v>
      </c>
      <c r="P48" s="20"/>
      <c r="Q48" s="20" t="s">
        <v>21</v>
      </c>
      <c r="R48" s="20" t="s">
        <v>15</v>
      </c>
      <c r="S48" s="20"/>
      <c r="T48" s="20" t="s">
        <v>346</v>
      </c>
      <c r="U48" s="20" t="s">
        <v>346</v>
      </c>
      <c r="V48" s="20" t="s">
        <v>721</v>
      </c>
      <c r="W48" s="59" t="s">
        <v>828</v>
      </c>
      <c r="X48" s="59" t="s">
        <v>757</v>
      </c>
      <c r="Y48" s="20" t="s">
        <v>717</v>
      </c>
      <c r="Z48" s="71">
        <v>0</v>
      </c>
      <c r="AA48" s="71">
        <v>5800</v>
      </c>
      <c r="AB48" s="71">
        <v>5800</v>
      </c>
      <c r="AC48" s="71">
        <v>5800</v>
      </c>
      <c r="AD48" s="105">
        <f t="shared" si="4"/>
        <v>5800</v>
      </c>
      <c r="AE48" s="118"/>
    </row>
    <row r="49" spans="2:31" s="57" customFormat="1" x14ac:dyDescent="0.2">
      <c r="B49" s="12">
        <v>47</v>
      </c>
      <c r="C49" s="20">
        <v>3</v>
      </c>
      <c r="D49" s="20">
        <v>5001419</v>
      </c>
      <c r="E49" s="20" t="str">
        <f t="shared" si="0"/>
        <v>5001419</v>
      </c>
      <c r="F49" s="20" t="s">
        <v>422</v>
      </c>
      <c r="G49" s="59" t="s">
        <v>73</v>
      </c>
      <c r="H49" s="58" t="s">
        <v>788</v>
      </c>
      <c r="I49" s="78">
        <v>1201442</v>
      </c>
      <c r="J49" s="78" t="s">
        <v>1193</v>
      </c>
      <c r="K49" s="20">
        <v>3</v>
      </c>
      <c r="L49" s="20">
        <v>3</v>
      </c>
      <c r="M49" s="20" t="s">
        <v>1094</v>
      </c>
      <c r="N49" s="59" t="s">
        <v>719</v>
      </c>
      <c r="O49" s="20" t="s">
        <v>14</v>
      </c>
      <c r="P49" s="20"/>
      <c r="Q49" s="20" t="s">
        <v>74</v>
      </c>
      <c r="R49" s="20" t="s">
        <v>15</v>
      </c>
      <c r="S49" s="20"/>
      <c r="T49" s="20" t="s">
        <v>346</v>
      </c>
      <c r="U49" s="20" t="s">
        <v>346</v>
      </c>
      <c r="V49" s="20" t="s">
        <v>721</v>
      </c>
      <c r="W49" s="59" t="s">
        <v>828</v>
      </c>
      <c r="X49" s="59" t="s">
        <v>751</v>
      </c>
      <c r="Y49" s="20" t="s">
        <v>717</v>
      </c>
      <c r="Z49" s="71">
        <v>0</v>
      </c>
      <c r="AA49" s="71">
        <v>667</v>
      </c>
      <c r="AB49" s="71">
        <v>2001</v>
      </c>
      <c r="AC49" s="71">
        <v>600</v>
      </c>
      <c r="AD49" s="105">
        <f t="shared" si="4"/>
        <v>1800</v>
      </c>
      <c r="AE49" s="118"/>
    </row>
    <row r="50" spans="2:31" s="57" customFormat="1" ht="40.5" x14ac:dyDescent="0.2">
      <c r="B50" s="12">
        <v>48</v>
      </c>
      <c r="C50" s="20">
        <v>3</v>
      </c>
      <c r="D50" s="20">
        <v>5001479</v>
      </c>
      <c r="E50" s="20" t="str">
        <f t="shared" si="0"/>
        <v>5001479</v>
      </c>
      <c r="F50" s="20" t="s">
        <v>425</v>
      </c>
      <c r="G50" s="59" t="s">
        <v>75</v>
      </c>
      <c r="H50" s="58" t="s">
        <v>788</v>
      </c>
      <c r="I50" s="78" t="s">
        <v>833</v>
      </c>
      <c r="J50" s="78" t="s">
        <v>1193</v>
      </c>
      <c r="K50" s="20">
        <v>4</v>
      </c>
      <c r="L50" s="20">
        <v>4</v>
      </c>
      <c r="M50" s="20" t="s">
        <v>1095</v>
      </c>
      <c r="N50" s="59" t="s">
        <v>719</v>
      </c>
      <c r="O50" s="20" t="s">
        <v>76</v>
      </c>
      <c r="P50" s="20"/>
      <c r="Q50" s="20" t="s">
        <v>55</v>
      </c>
      <c r="R50" s="20" t="s">
        <v>38</v>
      </c>
      <c r="S50" s="20"/>
      <c r="T50" s="20" t="s">
        <v>346</v>
      </c>
      <c r="U50" s="20" t="s">
        <v>346</v>
      </c>
      <c r="V50" s="20" t="s">
        <v>721</v>
      </c>
      <c r="W50" s="59" t="s">
        <v>828</v>
      </c>
      <c r="X50" s="59" t="s">
        <v>751</v>
      </c>
      <c r="Y50" s="20" t="s">
        <v>717</v>
      </c>
      <c r="Z50" s="71">
        <v>9280</v>
      </c>
      <c r="AA50" s="71">
        <v>10350</v>
      </c>
      <c r="AB50" s="71">
        <v>41400</v>
      </c>
      <c r="AC50" s="71">
        <v>9200</v>
      </c>
      <c r="AD50" s="105">
        <f t="shared" si="4"/>
        <v>36800</v>
      </c>
      <c r="AE50" s="118"/>
    </row>
    <row r="51" spans="2:31" s="57" customFormat="1" x14ac:dyDescent="0.2">
      <c r="B51" s="19">
        <v>49</v>
      </c>
      <c r="C51" s="18">
        <v>3</v>
      </c>
      <c r="D51" s="18">
        <v>600001344</v>
      </c>
      <c r="E51" s="18" t="str">
        <f t="shared" si="0"/>
        <v>600001344</v>
      </c>
      <c r="F51" s="18" t="s">
        <v>506</v>
      </c>
      <c r="G51" s="56" t="s">
        <v>507</v>
      </c>
      <c r="H51" s="55" t="s">
        <v>712</v>
      </c>
      <c r="I51" s="76" t="s">
        <v>1137</v>
      </c>
      <c r="J51" s="76" t="s">
        <v>1137</v>
      </c>
      <c r="K51" s="18">
        <v>0</v>
      </c>
      <c r="L51" s="18">
        <v>0</v>
      </c>
      <c r="M51" s="18" t="s">
        <v>1094</v>
      </c>
      <c r="N51" s="56" t="s">
        <v>1137</v>
      </c>
      <c r="O51" s="18"/>
      <c r="P51" s="18"/>
      <c r="Q51" s="18" t="s">
        <v>33</v>
      </c>
      <c r="R51" s="18"/>
      <c r="S51" s="18"/>
      <c r="T51" s="18"/>
      <c r="U51" s="18"/>
      <c r="V51" s="18"/>
      <c r="W51" s="56"/>
      <c r="X51" s="56"/>
      <c r="Y51" s="18"/>
      <c r="Z51" s="73"/>
      <c r="AA51" s="73"/>
      <c r="AB51" s="73"/>
      <c r="AC51" s="73"/>
      <c r="AD51" s="110"/>
      <c r="AE51" s="118"/>
    </row>
    <row r="52" spans="2:31" s="57" customFormat="1" x14ac:dyDescent="0.2">
      <c r="B52" s="12">
        <v>50</v>
      </c>
      <c r="C52" s="20">
        <v>3</v>
      </c>
      <c r="D52" s="20">
        <v>6500749</v>
      </c>
      <c r="E52" s="20" t="str">
        <f t="shared" si="0"/>
        <v>6500749</v>
      </c>
      <c r="F52" s="20" t="s">
        <v>410</v>
      </c>
      <c r="G52" s="59" t="s">
        <v>358</v>
      </c>
      <c r="H52" s="58" t="s">
        <v>788</v>
      </c>
      <c r="I52" s="78">
        <v>5542754</v>
      </c>
      <c r="J52" s="78" t="s">
        <v>1193</v>
      </c>
      <c r="K52" s="20">
        <v>3</v>
      </c>
      <c r="L52" s="20">
        <v>3</v>
      </c>
      <c r="M52" s="20" t="s">
        <v>1094</v>
      </c>
      <c r="N52" s="59" t="s">
        <v>719</v>
      </c>
      <c r="O52" s="20" t="s">
        <v>77</v>
      </c>
      <c r="P52" s="20"/>
      <c r="Q52" s="20" t="s">
        <v>74</v>
      </c>
      <c r="R52" s="20" t="s">
        <v>15</v>
      </c>
      <c r="S52" s="20"/>
      <c r="T52" s="20" t="s">
        <v>346</v>
      </c>
      <c r="U52" s="20" t="s">
        <v>346</v>
      </c>
      <c r="V52" s="20" t="s">
        <v>721</v>
      </c>
      <c r="W52" s="59" t="s">
        <v>828</v>
      </c>
      <c r="X52" s="59" t="s">
        <v>751</v>
      </c>
      <c r="Y52" s="20" t="s">
        <v>717</v>
      </c>
      <c r="Z52" s="71">
        <v>0</v>
      </c>
      <c r="AA52" s="71">
        <v>106454.39999999999</v>
      </c>
      <c r="AB52" s="71">
        <v>319363.19999999995</v>
      </c>
      <c r="AC52" s="71">
        <v>104000</v>
      </c>
      <c r="AD52" s="105">
        <f>$AC52*$K52</f>
        <v>312000</v>
      </c>
      <c r="AE52" s="118"/>
    </row>
    <row r="53" spans="2:31" s="57" customFormat="1" x14ac:dyDescent="0.2">
      <c r="B53" s="15">
        <v>51</v>
      </c>
      <c r="C53" s="11">
        <v>2</v>
      </c>
      <c r="D53" s="11">
        <v>110037820</v>
      </c>
      <c r="E53" s="11" t="str">
        <f t="shared" si="0"/>
        <v>110037820</v>
      </c>
      <c r="F53" s="11" t="s">
        <v>426</v>
      </c>
      <c r="G53" s="48" t="s">
        <v>79</v>
      </c>
      <c r="H53" s="47" t="s">
        <v>712</v>
      </c>
      <c r="I53" s="77" t="s">
        <v>1137</v>
      </c>
      <c r="J53" s="77" t="s">
        <v>1137</v>
      </c>
      <c r="K53" s="11">
        <v>1</v>
      </c>
      <c r="L53" s="11">
        <v>1</v>
      </c>
      <c r="M53" s="11" t="s">
        <v>1096</v>
      </c>
      <c r="N53" s="48" t="s">
        <v>1193</v>
      </c>
      <c r="O53" s="11" t="s">
        <v>14</v>
      </c>
      <c r="P53" s="11"/>
      <c r="Q53" s="11" t="s">
        <v>21</v>
      </c>
      <c r="R53" s="11" t="s">
        <v>38</v>
      </c>
      <c r="S53" s="11"/>
      <c r="T53" s="11" t="s">
        <v>354</v>
      </c>
      <c r="U53" s="11" t="s">
        <v>354</v>
      </c>
      <c r="V53" s="11"/>
      <c r="W53" s="48"/>
      <c r="X53" s="48"/>
      <c r="Y53" s="11"/>
      <c r="Z53" s="70"/>
      <c r="AA53" s="70"/>
      <c r="AB53" s="70"/>
      <c r="AC53" s="70"/>
      <c r="AD53" s="108"/>
      <c r="AE53" s="118"/>
    </row>
    <row r="54" spans="2:31" s="60" customFormat="1" x14ac:dyDescent="0.2">
      <c r="B54" s="12">
        <v>52</v>
      </c>
      <c r="C54" s="20">
        <v>3</v>
      </c>
      <c r="D54" s="20">
        <v>170068080</v>
      </c>
      <c r="E54" s="20" t="str">
        <f t="shared" si="0"/>
        <v>170068080</v>
      </c>
      <c r="F54" s="20" t="s">
        <v>422</v>
      </c>
      <c r="G54" s="59" t="s">
        <v>80</v>
      </c>
      <c r="H54" s="58" t="s">
        <v>734</v>
      </c>
      <c r="I54" s="78" t="s">
        <v>1193</v>
      </c>
      <c r="J54" s="78" t="s">
        <v>1193</v>
      </c>
      <c r="K54" s="20">
        <v>1</v>
      </c>
      <c r="L54" s="20">
        <v>1</v>
      </c>
      <c r="M54" s="20" t="s">
        <v>1095</v>
      </c>
      <c r="N54" s="59" t="s">
        <v>397</v>
      </c>
      <c r="O54" s="20" t="s">
        <v>68</v>
      </c>
      <c r="P54" s="20"/>
      <c r="Q54" s="20" t="s">
        <v>21</v>
      </c>
      <c r="R54" s="20" t="s">
        <v>15</v>
      </c>
      <c r="S54" s="20"/>
      <c r="T54" s="20" t="s">
        <v>346</v>
      </c>
      <c r="U54" s="20" t="s">
        <v>396</v>
      </c>
      <c r="V54" s="20" t="s">
        <v>792</v>
      </c>
      <c r="W54" s="20" t="s">
        <v>734</v>
      </c>
      <c r="X54" s="59" t="s">
        <v>797</v>
      </c>
      <c r="Y54" s="20" t="s">
        <v>717</v>
      </c>
      <c r="Z54" s="71">
        <v>0</v>
      </c>
      <c r="AA54" s="71">
        <v>103500</v>
      </c>
      <c r="AB54" s="71">
        <v>103500</v>
      </c>
      <c r="AC54" s="71">
        <v>103500</v>
      </c>
      <c r="AD54" s="105">
        <f t="shared" ref="AD54:AD59" si="5">$AC54*$K54</f>
        <v>103500</v>
      </c>
      <c r="AE54" s="121">
        <v>45873</v>
      </c>
    </row>
    <row r="55" spans="2:31" s="60" customFormat="1" x14ac:dyDescent="0.2">
      <c r="B55" s="12">
        <v>53</v>
      </c>
      <c r="C55" s="20">
        <v>3</v>
      </c>
      <c r="D55" s="20">
        <v>170068090</v>
      </c>
      <c r="E55" s="20" t="str">
        <f t="shared" si="0"/>
        <v>170068090</v>
      </c>
      <c r="F55" s="20" t="s">
        <v>422</v>
      </c>
      <c r="G55" s="59" t="s">
        <v>81</v>
      </c>
      <c r="H55" s="58" t="s">
        <v>734</v>
      </c>
      <c r="I55" s="78" t="s">
        <v>1137</v>
      </c>
      <c r="J55" s="78" t="s">
        <v>1193</v>
      </c>
      <c r="K55" s="20">
        <v>1</v>
      </c>
      <c r="L55" s="20">
        <v>1</v>
      </c>
      <c r="M55" s="20" t="s">
        <v>1094</v>
      </c>
      <c r="N55" s="59" t="s">
        <v>397</v>
      </c>
      <c r="O55" s="20" t="s">
        <v>70</v>
      </c>
      <c r="P55" s="20"/>
      <c r="Q55" s="20" t="s">
        <v>21</v>
      </c>
      <c r="R55" s="20" t="s">
        <v>15</v>
      </c>
      <c r="S55" s="20"/>
      <c r="T55" s="20" t="s">
        <v>346</v>
      </c>
      <c r="U55" s="20" t="s">
        <v>396</v>
      </c>
      <c r="V55" s="20" t="s">
        <v>792</v>
      </c>
      <c r="W55" s="20" t="s">
        <v>734</v>
      </c>
      <c r="X55" s="59" t="s">
        <v>797</v>
      </c>
      <c r="Y55" s="20" t="s">
        <v>717</v>
      </c>
      <c r="Z55" s="71">
        <v>0</v>
      </c>
      <c r="AA55" s="71">
        <v>70200</v>
      </c>
      <c r="AB55" s="71">
        <v>70200</v>
      </c>
      <c r="AC55" s="71">
        <v>70200</v>
      </c>
      <c r="AD55" s="105">
        <f t="shared" si="5"/>
        <v>70200</v>
      </c>
      <c r="AE55" s="121">
        <v>45873</v>
      </c>
    </row>
    <row r="56" spans="2:31" s="60" customFormat="1" x14ac:dyDescent="0.2">
      <c r="B56" s="12">
        <v>54</v>
      </c>
      <c r="C56" s="20">
        <v>3</v>
      </c>
      <c r="D56" s="20">
        <v>170068100</v>
      </c>
      <c r="E56" s="20" t="str">
        <f t="shared" si="0"/>
        <v>170068100</v>
      </c>
      <c r="F56" s="20" t="s">
        <v>422</v>
      </c>
      <c r="G56" s="59" t="s">
        <v>82</v>
      </c>
      <c r="H56" s="58" t="s">
        <v>734</v>
      </c>
      <c r="I56" s="78" t="s">
        <v>397</v>
      </c>
      <c r="J56" s="78" t="s">
        <v>1193</v>
      </c>
      <c r="K56" s="20">
        <v>1</v>
      </c>
      <c r="L56" s="20">
        <v>1</v>
      </c>
      <c r="M56" s="20" t="s">
        <v>1095</v>
      </c>
      <c r="N56" s="59" t="s">
        <v>1137</v>
      </c>
      <c r="O56" s="20" t="s">
        <v>83</v>
      </c>
      <c r="P56" s="20"/>
      <c r="Q56" s="20" t="s">
        <v>21</v>
      </c>
      <c r="R56" s="20" t="s">
        <v>15</v>
      </c>
      <c r="S56" s="20"/>
      <c r="T56" s="20" t="s">
        <v>346</v>
      </c>
      <c r="U56" s="20" t="s">
        <v>396</v>
      </c>
      <c r="V56" s="20" t="s">
        <v>792</v>
      </c>
      <c r="W56" s="20" t="s">
        <v>734</v>
      </c>
      <c r="X56" s="59" t="s">
        <v>797</v>
      </c>
      <c r="Y56" s="20" t="s">
        <v>717</v>
      </c>
      <c r="Z56" s="71">
        <v>0</v>
      </c>
      <c r="AA56" s="71">
        <v>73800</v>
      </c>
      <c r="AB56" s="71">
        <v>73800</v>
      </c>
      <c r="AC56" s="71">
        <v>73800</v>
      </c>
      <c r="AD56" s="105">
        <f t="shared" si="5"/>
        <v>73800</v>
      </c>
      <c r="AE56" s="121">
        <v>45873</v>
      </c>
    </row>
    <row r="57" spans="2:31" s="57" customFormat="1" x14ac:dyDescent="0.2">
      <c r="B57" s="12">
        <v>55</v>
      </c>
      <c r="C57" s="20">
        <v>3</v>
      </c>
      <c r="D57" s="20">
        <v>170151859</v>
      </c>
      <c r="E57" s="20" t="str">
        <f t="shared" si="0"/>
        <v>170151859</v>
      </c>
      <c r="F57" s="20" t="s">
        <v>410</v>
      </c>
      <c r="G57" s="59" t="s">
        <v>359</v>
      </c>
      <c r="H57" s="58" t="s">
        <v>734</v>
      </c>
      <c r="I57" s="78" t="s">
        <v>1137</v>
      </c>
      <c r="J57" s="78" t="s">
        <v>1193</v>
      </c>
      <c r="K57" s="20">
        <v>1</v>
      </c>
      <c r="L57" s="20">
        <v>1</v>
      </c>
      <c r="M57" s="20" t="s">
        <v>1095</v>
      </c>
      <c r="N57" s="59" t="s">
        <v>733</v>
      </c>
      <c r="O57" s="20" t="s">
        <v>85</v>
      </c>
      <c r="P57" s="20"/>
      <c r="Q57" s="20" t="s">
        <v>21</v>
      </c>
      <c r="R57" s="20" t="s">
        <v>15</v>
      </c>
      <c r="S57" s="20"/>
      <c r="T57" s="20" t="s">
        <v>393</v>
      </c>
      <c r="U57" s="20" t="s">
        <v>344</v>
      </c>
      <c r="V57" s="20" t="s">
        <v>792</v>
      </c>
      <c r="W57" s="20" t="s">
        <v>734</v>
      </c>
      <c r="X57" s="59" t="s">
        <v>797</v>
      </c>
      <c r="Y57" s="20" t="s">
        <v>717</v>
      </c>
      <c r="Z57" s="71">
        <v>0</v>
      </c>
      <c r="AA57" s="71">
        <v>17100</v>
      </c>
      <c r="AB57" s="71">
        <v>17100</v>
      </c>
      <c r="AC57" s="71">
        <v>17100</v>
      </c>
      <c r="AD57" s="105">
        <f t="shared" si="5"/>
        <v>17100</v>
      </c>
      <c r="AE57" s="121">
        <v>45873</v>
      </c>
    </row>
    <row r="58" spans="2:31" s="57" customFormat="1" x14ac:dyDescent="0.2">
      <c r="B58" s="12">
        <v>56</v>
      </c>
      <c r="C58" s="20">
        <v>3</v>
      </c>
      <c r="D58" s="20">
        <v>170216077</v>
      </c>
      <c r="E58" s="20" t="str">
        <f t="shared" si="0"/>
        <v>170216077</v>
      </c>
      <c r="F58" s="20" t="s">
        <v>419</v>
      </c>
      <c r="G58" s="59" t="s">
        <v>86</v>
      </c>
      <c r="H58" s="58" t="s">
        <v>727</v>
      </c>
      <c r="I58" s="78" t="s">
        <v>1193</v>
      </c>
      <c r="J58" s="78" t="s">
        <v>1193</v>
      </c>
      <c r="K58" s="20">
        <v>1</v>
      </c>
      <c r="L58" s="20">
        <v>1</v>
      </c>
      <c r="M58" s="20" t="s">
        <v>1095</v>
      </c>
      <c r="N58" s="59" t="s">
        <v>712</v>
      </c>
      <c r="O58" s="20" t="s">
        <v>14</v>
      </c>
      <c r="P58" s="20"/>
      <c r="Q58" s="20" t="s">
        <v>21</v>
      </c>
      <c r="R58" s="20" t="s">
        <v>15</v>
      </c>
      <c r="S58" s="20"/>
      <c r="T58" s="20" t="s">
        <v>393</v>
      </c>
      <c r="U58" s="20" t="s">
        <v>360</v>
      </c>
      <c r="V58" s="20" t="s">
        <v>722</v>
      </c>
      <c r="W58" s="59" t="s">
        <v>727</v>
      </c>
      <c r="X58" s="59" t="s">
        <v>798</v>
      </c>
      <c r="Y58" s="20" t="s">
        <v>717</v>
      </c>
      <c r="Z58" s="71">
        <v>0</v>
      </c>
      <c r="AA58" s="71">
        <v>6104</v>
      </c>
      <c r="AB58" s="71">
        <v>6104</v>
      </c>
      <c r="AC58" s="71">
        <v>6104</v>
      </c>
      <c r="AD58" s="105">
        <f t="shared" si="5"/>
        <v>6104</v>
      </c>
      <c r="AE58" s="118"/>
    </row>
    <row r="59" spans="2:31" s="57" customFormat="1" x14ac:dyDescent="0.2">
      <c r="B59" s="12">
        <v>57</v>
      </c>
      <c r="C59" s="20">
        <v>3</v>
      </c>
      <c r="D59" s="20">
        <v>190005028</v>
      </c>
      <c r="E59" s="20" t="str">
        <f t="shared" si="0"/>
        <v>190005028</v>
      </c>
      <c r="F59" s="20" t="s">
        <v>410</v>
      </c>
      <c r="G59" s="59" t="s">
        <v>87</v>
      </c>
      <c r="H59" s="58" t="s">
        <v>728</v>
      </c>
      <c r="I59" s="58" t="s">
        <v>1137</v>
      </c>
      <c r="J59" s="58" t="s">
        <v>1137</v>
      </c>
      <c r="K59" s="20">
        <v>1</v>
      </c>
      <c r="L59" s="20">
        <v>1</v>
      </c>
      <c r="M59" s="20" t="s">
        <v>1095</v>
      </c>
      <c r="N59" s="59" t="s">
        <v>719</v>
      </c>
      <c r="O59" s="20" t="s">
        <v>88</v>
      </c>
      <c r="P59" s="20"/>
      <c r="Q59" s="20" t="s">
        <v>21</v>
      </c>
      <c r="R59" s="20" t="s">
        <v>15</v>
      </c>
      <c r="S59" s="20"/>
      <c r="T59" s="20" t="s">
        <v>346</v>
      </c>
      <c r="U59" s="20" t="s">
        <v>346</v>
      </c>
      <c r="V59" s="20" t="s">
        <v>738</v>
      </c>
      <c r="W59" s="59" t="s">
        <v>735</v>
      </c>
      <c r="X59" s="59" t="s">
        <v>799</v>
      </c>
      <c r="Y59" s="20" t="s">
        <v>717</v>
      </c>
      <c r="Z59" s="71">
        <v>0</v>
      </c>
      <c r="AA59" s="71">
        <v>0</v>
      </c>
      <c r="AB59" s="71">
        <v>0</v>
      </c>
      <c r="AC59" s="71">
        <v>0</v>
      </c>
      <c r="AD59" s="110">
        <f t="shared" si="5"/>
        <v>0</v>
      </c>
      <c r="AE59" s="118" t="s">
        <v>1262</v>
      </c>
    </row>
    <row r="60" spans="2:31" s="57" customFormat="1" ht="54" x14ac:dyDescent="0.2">
      <c r="B60" s="12">
        <v>58</v>
      </c>
      <c r="C60" s="20">
        <v>4</v>
      </c>
      <c r="D60" s="20" t="s">
        <v>1102</v>
      </c>
      <c r="E60" s="20" t="str">
        <f t="shared" ref="E60:E67" si="6">TRIM(D60)</f>
        <v>190005028-1</v>
      </c>
      <c r="F60" s="20" t="s">
        <v>410</v>
      </c>
      <c r="G60" s="59" t="s">
        <v>87</v>
      </c>
      <c r="H60" s="58" t="s">
        <v>728</v>
      </c>
      <c r="I60" s="58" t="s">
        <v>1110</v>
      </c>
      <c r="J60" s="58" t="s">
        <v>1193</v>
      </c>
      <c r="K60" s="20">
        <v>1</v>
      </c>
      <c r="L60" s="20">
        <v>1</v>
      </c>
      <c r="M60" s="20" t="s">
        <v>1096</v>
      </c>
      <c r="N60" s="59" t="s">
        <v>1193</v>
      </c>
      <c r="O60" s="20"/>
      <c r="P60" s="20"/>
      <c r="Q60" s="20"/>
      <c r="R60" s="20"/>
      <c r="S60" s="20"/>
      <c r="T60" s="20"/>
      <c r="U60" s="20"/>
      <c r="V60" s="20" t="s">
        <v>738</v>
      </c>
      <c r="W60" s="59" t="s">
        <v>735</v>
      </c>
      <c r="X60" s="59"/>
      <c r="Y60" s="20" t="s">
        <v>717</v>
      </c>
      <c r="Z60" s="71"/>
      <c r="AA60" s="71">
        <v>876400</v>
      </c>
      <c r="AB60" s="71">
        <f>AA60*L60</f>
        <v>876400</v>
      </c>
      <c r="AC60" s="71">
        <v>830900</v>
      </c>
      <c r="AD60" s="110">
        <f t="shared" ref="AD60:AD67" si="7">$AC60*$K60</f>
        <v>830900</v>
      </c>
      <c r="AE60" s="118" t="s">
        <v>1262</v>
      </c>
    </row>
    <row r="61" spans="2:31" s="57" customFormat="1" ht="94.5" x14ac:dyDescent="0.2">
      <c r="B61" s="12">
        <v>59</v>
      </c>
      <c r="C61" s="20">
        <v>4</v>
      </c>
      <c r="D61" s="20" t="s">
        <v>1103</v>
      </c>
      <c r="E61" s="20" t="str">
        <f t="shared" si="6"/>
        <v>190005028-2</v>
      </c>
      <c r="F61" s="20" t="s">
        <v>410</v>
      </c>
      <c r="G61" s="59" t="s">
        <v>87</v>
      </c>
      <c r="H61" s="58" t="s">
        <v>728</v>
      </c>
      <c r="I61" s="58" t="s">
        <v>1111</v>
      </c>
      <c r="J61" s="58" t="s">
        <v>1193</v>
      </c>
      <c r="K61" s="20">
        <v>1</v>
      </c>
      <c r="L61" s="20">
        <v>1</v>
      </c>
      <c r="M61" s="20" t="s">
        <v>1096</v>
      </c>
      <c r="N61" s="59" t="s">
        <v>1193</v>
      </c>
      <c r="O61" s="20"/>
      <c r="P61" s="20"/>
      <c r="Q61" s="20"/>
      <c r="R61" s="20"/>
      <c r="S61" s="20"/>
      <c r="T61" s="20"/>
      <c r="U61" s="20"/>
      <c r="V61" s="20" t="s">
        <v>738</v>
      </c>
      <c r="W61" s="59" t="s">
        <v>735</v>
      </c>
      <c r="X61" s="59"/>
      <c r="Y61" s="20" t="s">
        <v>717</v>
      </c>
      <c r="Z61" s="71"/>
      <c r="AA61" s="71">
        <v>1605000</v>
      </c>
      <c r="AB61" s="71">
        <f t="shared" ref="AB61:AB67" si="8">AA61*L61</f>
        <v>1605000</v>
      </c>
      <c r="AC61" s="71">
        <v>1522000</v>
      </c>
      <c r="AD61" s="110">
        <f t="shared" si="7"/>
        <v>1522000</v>
      </c>
      <c r="AE61" s="118" t="s">
        <v>1262</v>
      </c>
    </row>
    <row r="62" spans="2:31" s="57" customFormat="1" ht="40.5" x14ac:dyDescent="0.2">
      <c r="B62" s="12">
        <v>60</v>
      </c>
      <c r="C62" s="20">
        <v>4</v>
      </c>
      <c r="D62" s="20" t="s">
        <v>1104</v>
      </c>
      <c r="E62" s="20" t="str">
        <f t="shared" si="6"/>
        <v>190005028-3</v>
      </c>
      <c r="F62" s="20" t="s">
        <v>410</v>
      </c>
      <c r="G62" s="59" t="s">
        <v>87</v>
      </c>
      <c r="H62" s="58" t="s">
        <v>728</v>
      </c>
      <c r="I62" s="58" t="s">
        <v>1112</v>
      </c>
      <c r="J62" s="58" t="s">
        <v>1193</v>
      </c>
      <c r="K62" s="20">
        <v>1</v>
      </c>
      <c r="L62" s="20">
        <v>1</v>
      </c>
      <c r="M62" s="20" t="s">
        <v>1095</v>
      </c>
      <c r="N62" s="59" t="s">
        <v>1137</v>
      </c>
      <c r="O62" s="20"/>
      <c r="P62" s="20"/>
      <c r="Q62" s="20"/>
      <c r="R62" s="20"/>
      <c r="S62" s="20"/>
      <c r="T62" s="20"/>
      <c r="U62" s="20"/>
      <c r="V62" s="20" t="s">
        <v>738</v>
      </c>
      <c r="W62" s="59" t="s">
        <v>735</v>
      </c>
      <c r="X62" s="59"/>
      <c r="Y62" s="20" t="s">
        <v>717</v>
      </c>
      <c r="Z62" s="71"/>
      <c r="AA62" s="71">
        <v>25400</v>
      </c>
      <c r="AB62" s="71">
        <f t="shared" si="8"/>
        <v>25400</v>
      </c>
      <c r="AC62" s="71">
        <v>24100</v>
      </c>
      <c r="AD62" s="110">
        <f t="shared" si="7"/>
        <v>24100</v>
      </c>
      <c r="AE62" s="118" t="s">
        <v>1262</v>
      </c>
    </row>
    <row r="63" spans="2:31" s="57" customFormat="1" ht="27" x14ac:dyDescent="0.2">
      <c r="B63" s="12">
        <v>61</v>
      </c>
      <c r="C63" s="20">
        <v>4</v>
      </c>
      <c r="D63" s="20" t="s">
        <v>1105</v>
      </c>
      <c r="E63" s="20" t="str">
        <f t="shared" si="6"/>
        <v>190005028-4</v>
      </c>
      <c r="F63" s="20" t="s">
        <v>410</v>
      </c>
      <c r="G63" s="59" t="s">
        <v>87</v>
      </c>
      <c r="H63" s="58" t="s">
        <v>728</v>
      </c>
      <c r="I63" s="58" t="s">
        <v>1113</v>
      </c>
      <c r="J63" s="58" t="s">
        <v>1193</v>
      </c>
      <c r="K63" s="20">
        <v>2</v>
      </c>
      <c r="L63" s="20">
        <v>2</v>
      </c>
      <c r="M63" s="20" t="s">
        <v>1189</v>
      </c>
      <c r="N63" s="59" t="s">
        <v>1193</v>
      </c>
      <c r="O63" s="20"/>
      <c r="P63" s="20"/>
      <c r="Q63" s="20"/>
      <c r="R63" s="20"/>
      <c r="S63" s="20"/>
      <c r="T63" s="20"/>
      <c r="U63" s="20"/>
      <c r="V63" s="20" t="s">
        <v>738</v>
      </c>
      <c r="W63" s="59" t="s">
        <v>735</v>
      </c>
      <c r="X63" s="59"/>
      <c r="Y63" s="20" t="s">
        <v>717</v>
      </c>
      <c r="Z63" s="71"/>
      <c r="AA63" s="71">
        <v>17200</v>
      </c>
      <c r="AB63" s="71">
        <f t="shared" si="8"/>
        <v>34400</v>
      </c>
      <c r="AC63" s="71">
        <v>16300</v>
      </c>
      <c r="AD63" s="110">
        <f t="shared" si="7"/>
        <v>32600</v>
      </c>
      <c r="AE63" s="118" t="s">
        <v>1262</v>
      </c>
    </row>
    <row r="64" spans="2:31" s="57" customFormat="1" ht="54" x14ac:dyDescent="0.2">
      <c r="B64" s="12">
        <v>62</v>
      </c>
      <c r="C64" s="20">
        <v>4</v>
      </c>
      <c r="D64" s="20" t="s">
        <v>1106</v>
      </c>
      <c r="E64" s="20" t="str">
        <f t="shared" si="6"/>
        <v>190005028-5</v>
      </c>
      <c r="F64" s="20" t="s">
        <v>410</v>
      </c>
      <c r="G64" s="59" t="s">
        <v>87</v>
      </c>
      <c r="H64" s="58" t="s">
        <v>728</v>
      </c>
      <c r="I64" s="58" t="s">
        <v>1114</v>
      </c>
      <c r="J64" s="58" t="s">
        <v>1193</v>
      </c>
      <c r="K64" s="20">
        <v>1</v>
      </c>
      <c r="L64" s="20">
        <v>1</v>
      </c>
      <c r="M64" s="20" t="s">
        <v>1189</v>
      </c>
      <c r="N64" s="59" t="s">
        <v>1137</v>
      </c>
      <c r="O64" s="20"/>
      <c r="P64" s="20"/>
      <c r="Q64" s="20"/>
      <c r="R64" s="20"/>
      <c r="S64" s="20"/>
      <c r="T64" s="20"/>
      <c r="U64" s="20"/>
      <c r="V64" s="20" t="s">
        <v>738</v>
      </c>
      <c r="W64" s="59" t="s">
        <v>735</v>
      </c>
      <c r="X64" s="59"/>
      <c r="Y64" s="20" t="s">
        <v>717</v>
      </c>
      <c r="Z64" s="71"/>
      <c r="AA64" s="71">
        <v>38100</v>
      </c>
      <c r="AB64" s="71">
        <f t="shared" si="8"/>
        <v>38100</v>
      </c>
      <c r="AC64" s="71">
        <v>36100</v>
      </c>
      <c r="AD64" s="110">
        <f t="shared" si="7"/>
        <v>36100</v>
      </c>
      <c r="AE64" s="118" t="s">
        <v>1262</v>
      </c>
    </row>
    <row r="65" spans="2:33" s="57" customFormat="1" ht="54" x14ac:dyDescent="0.2">
      <c r="B65" s="12">
        <v>63</v>
      </c>
      <c r="C65" s="20">
        <v>4</v>
      </c>
      <c r="D65" s="20" t="s">
        <v>1107</v>
      </c>
      <c r="E65" s="20" t="str">
        <f t="shared" si="6"/>
        <v>190005028-6</v>
      </c>
      <c r="F65" s="20" t="s">
        <v>410</v>
      </c>
      <c r="G65" s="59" t="s">
        <v>87</v>
      </c>
      <c r="H65" s="58" t="s">
        <v>728</v>
      </c>
      <c r="I65" s="58" t="s">
        <v>1115</v>
      </c>
      <c r="J65" s="58" t="s">
        <v>1193</v>
      </c>
      <c r="K65" s="20">
        <v>1</v>
      </c>
      <c r="L65" s="20">
        <v>1</v>
      </c>
      <c r="M65" s="20" t="s">
        <v>1096</v>
      </c>
      <c r="N65" s="59" t="s">
        <v>1193</v>
      </c>
      <c r="O65" s="20"/>
      <c r="P65" s="20"/>
      <c r="Q65" s="20"/>
      <c r="R65" s="20"/>
      <c r="S65" s="20"/>
      <c r="T65" s="20"/>
      <c r="U65" s="20"/>
      <c r="V65" s="20" t="s">
        <v>738</v>
      </c>
      <c r="W65" s="59" t="s">
        <v>735</v>
      </c>
      <c r="X65" s="59"/>
      <c r="Y65" s="20" t="s">
        <v>717</v>
      </c>
      <c r="Z65" s="71"/>
      <c r="AA65" s="71">
        <v>11500</v>
      </c>
      <c r="AB65" s="71">
        <f t="shared" si="8"/>
        <v>11500</v>
      </c>
      <c r="AC65" s="71">
        <v>6388</v>
      </c>
      <c r="AD65" s="110">
        <f t="shared" si="7"/>
        <v>6388</v>
      </c>
      <c r="AE65" s="118" t="s">
        <v>1262</v>
      </c>
    </row>
    <row r="66" spans="2:33" s="57" customFormat="1" ht="67.5" x14ac:dyDescent="0.2">
      <c r="B66" s="12">
        <v>64</v>
      </c>
      <c r="C66" s="20">
        <v>4</v>
      </c>
      <c r="D66" s="20" t="s">
        <v>1108</v>
      </c>
      <c r="E66" s="20" t="str">
        <f t="shared" si="6"/>
        <v>190005028-7</v>
      </c>
      <c r="F66" s="20" t="s">
        <v>410</v>
      </c>
      <c r="G66" s="59" t="s">
        <v>87</v>
      </c>
      <c r="H66" s="58" t="s">
        <v>728</v>
      </c>
      <c r="I66" s="58" t="s">
        <v>1116</v>
      </c>
      <c r="J66" s="58" t="s">
        <v>1193</v>
      </c>
      <c r="K66" s="20">
        <v>1</v>
      </c>
      <c r="L66" s="20">
        <v>1</v>
      </c>
      <c r="M66" s="20" t="s">
        <v>1095</v>
      </c>
      <c r="N66" s="59" t="s">
        <v>1193</v>
      </c>
      <c r="O66" s="20"/>
      <c r="P66" s="20"/>
      <c r="Q66" s="20"/>
      <c r="R66" s="20"/>
      <c r="S66" s="20"/>
      <c r="T66" s="20"/>
      <c r="U66" s="20"/>
      <c r="V66" s="20" t="s">
        <v>738</v>
      </c>
      <c r="W66" s="59" t="s">
        <v>1249</v>
      </c>
      <c r="X66" s="59"/>
      <c r="Y66" s="20" t="s">
        <v>717</v>
      </c>
      <c r="Z66" s="71"/>
      <c r="AA66" s="71">
        <v>151600</v>
      </c>
      <c r="AB66" s="71">
        <f t="shared" si="8"/>
        <v>151600</v>
      </c>
      <c r="AC66" s="71">
        <v>143700</v>
      </c>
      <c r="AD66" s="110">
        <f t="shared" si="7"/>
        <v>143700</v>
      </c>
      <c r="AE66" s="118" t="s">
        <v>1262</v>
      </c>
    </row>
    <row r="67" spans="2:33" s="57" customFormat="1" ht="40.5" x14ac:dyDescent="0.2">
      <c r="B67" s="12">
        <v>65</v>
      </c>
      <c r="C67" s="20">
        <v>4</v>
      </c>
      <c r="D67" s="20" t="s">
        <v>1109</v>
      </c>
      <c r="E67" s="20" t="str">
        <f t="shared" si="6"/>
        <v>190005028-8</v>
      </c>
      <c r="F67" s="20" t="s">
        <v>410</v>
      </c>
      <c r="G67" s="59" t="s">
        <v>87</v>
      </c>
      <c r="H67" s="58" t="s">
        <v>728</v>
      </c>
      <c r="I67" s="58" t="s">
        <v>1117</v>
      </c>
      <c r="J67" s="58" t="s">
        <v>1193</v>
      </c>
      <c r="K67" s="20">
        <v>1</v>
      </c>
      <c r="L67" s="20">
        <v>1</v>
      </c>
      <c r="M67" s="20" t="s">
        <v>1189</v>
      </c>
      <c r="N67" s="59" t="s">
        <v>1193</v>
      </c>
      <c r="O67" s="20"/>
      <c r="P67" s="20"/>
      <c r="Q67" s="20"/>
      <c r="R67" s="20"/>
      <c r="S67" s="20"/>
      <c r="T67" s="20"/>
      <c r="U67" s="20"/>
      <c r="V67" s="20" t="s">
        <v>738</v>
      </c>
      <c r="W67" s="59" t="s">
        <v>735</v>
      </c>
      <c r="X67" s="59"/>
      <c r="Y67" s="20" t="s">
        <v>717</v>
      </c>
      <c r="Z67" s="71"/>
      <c r="AA67" s="71">
        <v>51700</v>
      </c>
      <c r="AB67" s="71">
        <f t="shared" si="8"/>
        <v>51700</v>
      </c>
      <c r="AC67" s="71">
        <v>49000</v>
      </c>
      <c r="AD67" s="110">
        <f t="shared" si="7"/>
        <v>49000</v>
      </c>
      <c r="AE67" s="118" t="s">
        <v>1262</v>
      </c>
    </row>
    <row r="68" spans="2:33" s="57" customFormat="1" x14ac:dyDescent="0.2">
      <c r="B68" s="12">
        <v>66</v>
      </c>
      <c r="C68" s="20">
        <v>3</v>
      </c>
      <c r="D68" s="20">
        <v>300000252</v>
      </c>
      <c r="E68" s="20" t="str">
        <f t="shared" si="0"/>
        <v>300000252</v>
      </c>
      <c r="F68" s="20" t="s">
        <v>412</v>
      </c>
      <c r="G68" s="59" t="s">
        <v>89</v>
      </c>
      <c r="H68" s="58" t="s">
        <v>1118</v>
      </c>
      <c r="I68" s="78" t="s">
        <v>1188</v>
      </c>
      <c r="J68" s="78" t="s">
        <v>1193</v>
      </c>
      <c r="K68" s="20">
        <v>1</v>
      </c>
      <c r="L68" s="20">
        <v>1</v>
      </c>
      <c r="M68" s="20" t="s">
        <v>1095</v>
      </c>
      <c r="N68" s="59" t="s">
        <v>718</v>
      </c>
      <c r="O68" s="20" t="s">
        <v>90</v>
      </c>
      <c r="P68" s="20"/>
      <c r="Q68" s="20" t="s">
        <v>21</v>
      </c>
      <c r="R68" s="20" t="s">
        <v>15</v>
      </c>
      <c r="S68" s="20"/>
      <c r="T68" s="20" t="s">
        <v>346</v>
      </c>
      <c r="U68" s="20" t="s">
        <v>346</v>
      </c>
      <c r="V68" s="20" t="s">
        <v>738</v>
      </c>
      <c r="W68" s="59" t="s">
        <v>736</v>
      </c>
      <c r="X68" s="59" t="s">
        <v>800</v>
      </c>
      <c r="Y68" s="20" t="s">
        <v>717</v>
      </c>
      <c r="Z68" s="71">
        <v>0</v>
      </c>
      <c r="AA68" s="71">
        <v>1250000</v>
      </c>
      <c r="AB68" s="71">
        <v>1250000</v>
      </c>
      <c r="AC68" s="71">
        <v>1250000</v>
      </c>
      <c r="AD68" s="110">
        <f>$AC68*$K68</f>
        <v>1250000</v>
      </c>
      <c r="AE68" s="118">
        <v>45877</v>
      </c>
      <c r="AF68" s="57">
        <v>860000</v>
      </c>
      <c r="AG68" s="119">
        <f>AF68-AD68</f>
        <v>-390000</v>
      </c>
    </row>
    <row r="69" spans="2:33" s="57" customFormat="1" x14ac:dyDescent="0.2">
      <c r="B69" s="12">
        <v>67</v>
      </c>
      <c r="C69" s="20">
        <v>3</v>
      </c>
      <c r="D69" s="20">
        <v>3400167</v>
      </c>
      <c r="E69" s="20" t="str">
        <f t="shared" si="0"/>
        <v>3400167</v>
      </c>
      <c r="F69" s="20" t="s">
        <v>427</v>
      </c>
      <c r="G69" s="59" t="s">
        <v>92</v>
      </c>
      <c r="H69" s="58" t="s">
        <v>1120</v>
      </c>
      <c r="I69" s="78" t="s">
        <v>1119</v>
      </c>
      <c r="J69" s="78" t="s">
        <v>1193</v>
      </c>
      <c r="K69" s="20">
        <v>2</v>
      </c>
      <c r="L69" s="20">
        <v>2</v>
      </c>
      <c r="M69" s="20" t="s">
        <v>1095</v>
      </c>
      <c r="N69" s="59" t="s">
        <v>712</v>
      </c>
      <c r="O69" s="20" t="s">
        <v>93</v>
      </c>
      <c r="P69" s="20"/>
      <c r="Q69" s="20" t="s">
        <v>18</v>
      </c>
      <c r="R69" s="20" t="s">
        <v>15</v>
      </c>
      <c r="S69" s="20"/>
      <c r="T69" s="20" t="s">
        <v>346</v>
      </c>
      <c r="U69" s="20" t="s">
        <v>346</v>
      </c>
      <c r="V69" s="20" t="s">
        <v>1258</v>
      </c>
      <c r="W69" s="20" t="s">
        <v>1256</v>
      </c>
      <c r="X69" s="59" t="s">
        <v>1040</v>
      </c>
      <c r="Y69" s="20" t="s">
        <v>717</v>
      </c>
      <c r="Z69" s="71">
        <v>0</v>
      </c>
      <c r="AA69" s="71">
        <v>6783</v>
      </c>
      <c r="AB69" s="71">
        <v>13566</v>
      </c>
      <c r="AC69" s="71">
        <v>6783</v>
      </c>
      <c r="AD69" s="110">
        <f>$AC69*$K69</f>
        <v>13566</v>
      </c>
      <c r="AE69" s="118"/>
    </row>
    <row r="70" spans="2:33" s="57" customFormat="1" x14ac:dyDescent="0.2">
      <c r="B70" s="12">
        <v>68</v>
      </c>
      <c r="C70" s="20">
        <v>3</v>
      </c>
      <c r="D70" s="20">
        <v>4300505</v>
      </c>
      <c r="E70" s="20" t="str">
        <f t="shared" si="0"/>
        <v>4300505</v>
      </c>
      <c r="F70" s="20" t="s">
        <v>428</v>
      </c>
      <c r="G70" s="59" t="s">
        <v>95</v>
      </c>
      <c r="H70" s="58" t="s">
        <v>1120</v>
      </c>
      <c r="I70" s="78" t="s">
        <v>1121</v>
      </c>
      <c r="J70" s="78" t="s">
        <v>1193</v>
      </c>
      <c r="K70" s="20">
        <v>2</v>
      </c>
      <c r="L70" s="20">
        <v>2</v>
      </c>
      <c r="M70" s="20" t="s">
        <v>1095</v>
      </c>
      <c r="N70" s="59" t="s">
        <v>718</v>
      </c>
      <c r="O70" s="20" t="s">
        <v>96</v>
      </c>
      <c r="P70" s="20"/>
      <c r="Q70" s="20" t="s">
        <v>18</v>
      </c>
      <c r="R70" s="20" t="s">
        <v>38</v>
      </c>
      <c r="S70" s="20"/>
      <c r="T70" s="20" t="s">
        <v>346</v>
      </c>
      <c r="U70" s="20" t="s">
        <v>346</v>
      </c>
      <c r="V70" s="20" t="s">
        <v>1259</v>
      </c>
      <c r="W70" s="20" t="s">
        <v>1257</v>
      </c>
      <c r="X70" s="59" t="s">
        <v>1040</v>
      </c>
      <c r="Y70" s="20" t="s">
        <v>717</v>
      </c>
      <c r="Z70" s="71">
        <v>0</v>
      </c>
      <c r="AA70" s="71">
        <v>1500</v>
      </c>
      <c r="AB70" s="71">
        <v>3000</v>
      </c>
      <c r="AC70" s="71">
        <v>1500</v>
      </c>
      <c r="AD70" s="110">
        <f>$AC70*$K70</f>
        <v>3000</v>
      </c>
      <c r="AE70" s="118"/>
    </row>
    <row r="71" spans="2:33" s="57" customFormat="1" x14ac:dyDescent="0.2">
      <c r="B71" s="12">
        <v>69</v>
      </c>
      <c r="C71" s="20">
        <v>3</v>
      </c>
      <c r="D71" s="20">
        <v>4300755</v>
      </c>
      <c r="E71" s="20" t="str">
        <f t="shared" si="0"/>
        <v>4300755</v>
      </c>
      <c r="F71" s="20" t="s">
        <v>429</v>
      </c>
      <c r="G71" s="59" t="s">
        <v>97</v>
      </c>
      <c r="H71" s="58" t="s">
        <v>1120</v>
      </c>
      <c r="I71" s="78" t="s">
        <v>1122</v>
      </c>
      <c r="J71" s="78" t="s">
        <v>1193</v>
      </c>
      <c r="K71" s="20">
        <v>2</v>
      </c>
      <c r="L71" s="20">
        <v>2</v>
      </c>
      <c r="M71" s="20" t="s">
        <v>1095</v>
      </c>
      <c r="N71" s="59" t="s">
        <v>718</v>
      </c>
      <c r="O71" s="20" t="s">
        <v>72</v>
      </c>
      <c r="P71" s="20"/>
      <c r="Q71" s="20" t="s">
        <v>18</v>
      </c>
      <c r="R71" s="20" t="s">
        <v>38</v>
      </c>
      <c r="S71" s="20"/>
      <c r="T71" s="20" t="s">
        <v>346</v>
      </c>
      <c r="U71" s="20" t="s">
        <v>346</v>
      </c>
      <c r="V71" s="20" t="s">
        <v>1259</v>
      </c>
      <c r="W71" s="20" t="s">
        <v>1257</v>
      </c>
      <c r="X71" s="59" t="s">
        <v>1040</v>
      </c>
      <c r="Y71" s="20" t="s">
        <v>717</v>
      </c>
      <c r="Z71" s="71">
        <v>0</v>
      </c>
      <c r="AA71" s="71">
        <v>1800</v>
      </c>
      <c r="AB71" s="71">
        <v>3600</v>
      </c>
      <c r="AC71" s="71">
        <v>1800</v>
      </c>
      <c r="AD71" s="110">
        <f>$AC71*$K71</f>
        <v>3600</v>
      </c>
      <c r="AE71" s="118"/>
    </row>
    <row r="72" spans="2:33" s="57" customFormat="1" x14ac:dyDescent="0.2">
      <c r="B72" s="15">
        <v>70</v>
      </c>
      <c r="C72" s="11">
        <v>2</v>
      </c>
      <c r="D72" s="11">
        <v>110144580</v>
      </c>
      <c r="E72" s="11" t="str">
        <f t="shared" si="0"/>
        <v>110144580</v>
      </c>
      <c r="F72" s="11" t="s">
        <v>430</v>
      </c>
      <c r="G72" s="48" t="s">
        <v>99</v>
      </c>
      <c r="H72" s="47" t="s">
        <v>712</v>
      </c>
      <c r="I72" s="77" t="s">
        <v>1137</v>
      </c>
      <c r="J72" s="77" t="s">
        <v>1137</v>
      </c>
      <c r="K72" s="11">
        <v>1</v>
      </c>
      <c r="L72" s="11">
        <v>1</v>
      </c>
      <c r="M72" s="11" t="s">
        <v>1095</v>
      </c>
      <c r="N72" s="48" t="s">
        <v>1137</v>
      </c>
      <c r="O72" s="11" t="s">
        <v>14</v>
      </c>
      <c r="P72" s="11"/>
      <c r="Q72" s="11" t="s">
        <v>21</v>
      </c>
      <c r="R72" s="11" t="s">
        <v>38</v>
      </c>
      <c r="S72" s="11"/>
      <c r="T72" s="11" t="s">
        <v>354</v>
      </c>
      <c r="U72" s="11" t="s">
        <v>354</v>
      </c>
      <c r="V72" s="11"/>
      <c r="W72" s="48"/>
      <c r="X72" s="48"/>
      <c r="Y72" s="11"/>
      <c r="Z72" s="70"/>
      <c r="AA72" s="70"/>
      <c r="AB72" s="70"/>
      <c r="AC72" s="70"/>
      <c r="AD72" s="108"/>
      <c r="AE72" s="118"/>
    </row>
    <row r="73" spans="2:33" s="60" customFormat="1" x14ac:dyDescent="0.2">
      <c r="B73" s="12">
        <v>71</v>
      </c>
      <c r="C73" s="20">
        <v>3</v>
      </c>
      <c r="D73" s="20">
        <v>170168745</v>
      </c>
      <c r="E73" s="20" t="str">
        <f t="shared" si="0"/>
        <v>170168745</v>
      </c>
      <c r="F73" s="20" t="s">
        <v>431</v>
      </c>
      <c r="G73" s="59" t="s">
        <v>101</v>
      </c>
      <c r="H73" s="58" t="s">
        <v>734</v>
      </c>
      <c r="I73" s="78" t="s">
        <v>397</v>
      </c>
      <c r="J73" s="78" t="s">
        <v>1193</v>
      </c>
      <c r="K73" s="20">
        <v>1</v>
      </c>
      <c r="L73" s="20">
        <v>1</v>
      </c>
      <c r="M73" s="20" t="s">
        <v>1096</v>
      </c>
      <c r="N73" s="59" t="s">
        <v>733</v>
      </c>
      <c r="O73" s="20" t="s">
        <v>14</v>
      </c>
      <c r="P73" s="20"/>
      <c r="Q73" s="20" t="s">
        <v>21</v>
      </c>
      <c r="R73" s="20" t="s">
        <v>15</v>
      </c>
      <c r="S73" s="20"/>
      <c r="T73" s="20" t="s">
        <v>346</v>
      </c>
      <c r="U73" s="20" t="s">
        <v>396</v>
      </c>
      <c r="V73" s="20" t="s">
        <v>792</v>
      </c>
      <c r="W73" s="20" t="s">
        <v>734</v>
      </c>
      <c r="X73" s="59" t="s">
        <v>797</v>
      </c>
      <c r="Y73" s="20" t="s">
        <v>717</v>
      </c>
      <c r="Z73" s="71">
        <v>218312</v>
      </c>
      <c r="AA73" s="71">
        <v>216000</v>
      </c>
      <c r="AB73" s="71">
        <v>216000</v>
      </c>
      <c r="AC73" s="71">
        <v>216000</v>
      </c>
      <c r="AD73" s="105">
        <f>$AC73*$K73</f>
        <v>216000</v>
      </c>
      <c r="AE73" s="121">
        <v>45873</v>
      </c>
    </row>
    <row r="74" spans="2:33" s="60" customFormat="1" x14ac:dyDescent="0.2">
      <c r="B74" s="12">
        <v>72</v>
      </c>
      <c r="C74" s="20">
        <v>3</v>
      </c>
      <c r="D74" s="20">
        <v>170168754</v>
      </c>
      <c r="E74" s="20" t="str">
        <f t="shared" si="0"/>
        <v>170168754</v>
      </c>
      <c r="F74" s="20" t="s">
        <v>422</v>
      </c>
      <c r="G74" s="59" t="s">
        <v>102</v>
      </c>
      <c r="H74" s="58" t="s">
        <v>734</v>
      </c>
      <c r="I74" s="78" t="s">
        <v>397</v>
      </c>
      <c r="J74" s="78" t="s">
        <v>1193</v>
      </c>
      <c r="K74" s="20">
        <v>1</v>
      </c>
      <c r="L74" s="20">
        <v>1</v>
      </c>
      <c r="M74" s="20" t="s">
        <v>1095</v>
      </c>
      <c r="N74" s="59" t="s">
        <v>733</v>
      </c>
      <c r="O74" s="20" t="s">
        <v>68</v>
      </c>
      <c r="P74" s="20"/>
      <c r="Q74" s="20" t="s">
        <v>21</v>
      </c>
      <c r="R74" s="20" t="s">
        <v>15</v>
      </c>
      <c r="S74" s="20"/>
      <c r="T74" s="20" t="s">
        <v>346</v>
      </c>
      <c r="U74" s="20" t="s">
        <v>396</v>
      </c>
      <c r="V74" s="20" t="s">
        <v>792</v>
      </c>
      <c r="W74" s="20" t="s">
        <v>734</v>
      </c>
      <c r="X74" s="59" t="s">
        <v>797</v>
      </c>
      <c r="Y74" s="20" t="s">
        <v>717</v>
      </c>
      <c r="Z74" s="71">
        <v>0</v>
      </c>
      <c r="AA74" s="71">
        <v>79200</v>
      </c>
      <c r="AB74" s="71">
        <v>79200</v>
      </c>
      <c r="AC74" s="71">
        <v>79200</v>
      </c>
      <c r="AD74" s="105">
        <f>$AC74*$K74</f>
        <v>79200</v>
      </c>
      <c r="AE74" s="121">
        <v>45873</v>
      </c>
    </row>
    <row r="75" spans="2:33" s="57" customFormat="1" x14ac:dyDescent="0.2">
      <c r="B75" s="12">
        <v>73</v>
      </c>
      <c r="C75" s="20">
        <v>3</v>
      </c>
      <c r="D75" s="20">
        <v>320000363</v>
      </c>
      <c r="E75" s="20" t="str">
        <f t="shared" si="0"/>
        <v>320000363</v>
      </c>
      <c r="F75" s="20" t="s">
        <v>412</v>
      </c>
      <c r="G75" s="59" t="s">
        <v>103</v>
      </c>
      <c r="H75" s="58" t="s">
        <v>766</v>
      </c>
      <c r="I75" s="78" t="s">
        <v>820</v>
      </c>
      <c r="J75" s="78" t="s">
        <v>1193</v>
      </c>
      <c r="K75" s="20">
        <v>1</v>
      </c>
      <c r="L75" s="20">
        <v>1</v>
      </c>
      <c r="M75" s="20" t="s">
        <v>1095</v>
      </c>
      <c r="N75" s="59" t="s">
        <v>801</v>
      </c>
      <c r="O75" s="20" t="s">
        <v>70</v>
      </c>
      <c r="P75" s="20"/>
      <c r="Q75" s="20" t="s">
        <v>21</v>
      </c>
      <c r="R75" s="20" t="s">
        <v>15</v>
      </c>
      <c r="S75" s="20"/>
      <c r="T75" s="20" t="s">
        <v>346</v>
      </c>
      <c r="U75" s="20" t="s">
        <v>346</v>
      </c>
      <c r="V75" s="20" t="s">
        <v>1240</v>
      </c>
      <c r="W75" s="59" t="s">
        <v>805</v>
      </c>
      <c r="X75" s="59" t="s">
        <v>839</v>
      </c>
      <c r="Y75" s="20" t="s">
        <v>843</v>
      </c>
      <c r="Z75" s="71">
        <v>0</v>
      </c>
      <c r="AA75" s="71">
        <v>290000</v>
      </c>
      <c r="AB75" s="71">
        <v>290000</v>
      </c>
      <c r="AC75" s="71">
        <v>89.59</v>
      </c>
      <c r="AD75" s="105">
        <f>($Y$1*$AC75)*$K75</f>
        <v>121484.04000000001</v>
      </c>
      <c r="AE75" s="118"/>
    </row>
    <row r="76" spans="2:33" s="57" customFormat="1" x14ac:dyDescent="0.2">
      <c r="B76" s="12">
        <v>74</v>
      </c>
      <c r="C76" s="20">
        <v>3</v>
      </c>
      <c r="D76" s="20">
        <v>340002212</v>
      </c>
      <c r="E76" s="20" t="str">
        <f t="shared" si="0"/>
        <v>340002212</v>
      </c>
      <c r="F76" s="20" t="s">
        <v>410</v>
      </c>
      <c r="G76" s="59" t="s">
        <v>104</v>
      </c>
      <c r="H76" s="58" t="s">
        <v>747</v>
      </c>
      <c r="I76" s="78" t="s">
        <v>821</v>
      </c>
      <c r="J76" s="78" t="s">
        <v>1193</v>
      </c>
      <c r="K76" s="20">
        <v>2</v>
      </c>
      <c r="L76" s="20">
        <v>2</v>
      </c>
      <c r="M76" s="20" t="s">
        <v>1095</v>
      </c>
      <c r="N76" s="59" t="s">
        <v>720</v>
      </c>
      <c r="O76" s="20" t="s">
        <v>83</v>
      </c>
      <c r="P76" s="20"/>
      <c r="Q76" s="20" t="s">
        <v>18</v>
      </c>
      <c r="R76" s="20" t="s">
        <v>15</v>
      </c>
      <c r="S76" s="20"/>
      <c r="T76" s="20" t="s">
        <v>346</v>
      </c>
      <c r="U76" s="20" t="s">
        <v>346</v>
      </c>
      <c r="V76" s="20" t="s">
        <v>1238</v>
      </c>
      <c r="W76" s="59" t="s">
        <v>805</v>
      </c>
      <c r="X76" s="59" t="s">
        <v>840</v>
      </c>
      <c r="Y76" s="20" t="s">
        <v>843</v>
      </c>
      <c r="Z76" s="71">
        <v>0</v>
      </c>
      <c r="AA76" s="71">
        <v>163000</v>
      </c>
      <c r="AB76" s="71">
        <v>326000</v>
      </c>
      <c r="AC76" s="71">
        <v>62.91</v>
      </c>
      <c r="AD76" s="105">
        <f>($Y$1*$AC76)*$K76</f>
        <v>170611.91999999998</v>
      </c>
      <c r="AE76" s="118"/>
    </row>
    <row r="77" spans="2:33" s="57" customFormat="1" x14ac:dyDescent="0.2">
      <c r="B77" s="12">
        <v>75</v>
      </c>
      <c r="C77" s="20">
        <v>3</v>
      </c>
      <c r="D77" s="20">
        <v>3402049</v>
      </c>
      <c r="E77" s="20" t="str">
        <f t="shared" si="0"/>
        <v>3402049</v>
      </c>
      <c r="F77" s="20" t="s">
        <v>422</v>
      </c>
      <c r="G77" s="59" t="s">
        <v>105</v>
      </c>
      <c r="H77" s="58" t="s">
        <v>1124</v>
      </c>
      <c r="I77" s="78" t="s">
        <v>1123</v>
      </c>
      <c r="J77" s="78" t="s">
        <v>1193</v>
      </c>
      <c r="K77" s="20">
        <v>1</v>
      </c>
      <c r="L77" s="20">
        <v>1</v>
      </c>
      <c r="M77" s="20" t="s">
        <v>1095</v>
      </c>
      <c r="N77" s="59" t="s">
        <v>720</v>
      </c>
      <c r="O77" s="20" t="s">
        <v>106</v>
      </c>
      <c r="P77" s="20"/>
      <c r="Q77" s="20" t="s">
        <v>21</v>
      </c>
      <c r="R77" s="20" t="s">
        <v>15</v>
      </c>
      <c r="S77" s="20"/>
      <c r="T77" s="20" t="s">
        <v>346</v>
      </c>
      <c r="U77" s="20" t="s">
        <v>346</v>
      </c>
      <c r="V77" s="20" t="s">
        <v>721</v>
      </c>
      <c r="W77" s="59" t="s">
        <v>806</v>
      </c>
      <c r="X77" s="59" t="s">
        <v>841</v>
      </c>
      <c r="Y77" s="20" t="s">
        <v>717</v>
      </c>
      <c r="Z77" s="71">
        <v>0</v>
      </c>
      <c r="AA77" s="71">
        <v>68969</v>
      </c>
      <c r="AB77" s="71">
        <f>AA77*K77</f>
        <v>68969</v>
      </c>
      <c r="AC77" s="71">
        <v>90219</v>
      </c>
      <c r="AD77" s="105">
        <f>$AC77*$K77</f>
        <v>90219</v>
      </c>
      <c r="AE77" s="118"/>
    </row>
    <row r="78" spans="2:33" s="57" customFormat="1" x14ac:dyDescent="0.2">
      <c r="B78" s="12">
        <v>76</v>
      </c>
      <c r="C78" s="20">
        <v>3</v>
      </c>
      <c r="D78" s="20">
        <v>3402684</v>
      </c>
      <c r="E78" s="20" t="str">
        <f t="shared" si="0"/>
        <v>3402684</v>
      </c>
      <c r="F78" s="20" t="s">
        <v>410</v>
      </c>
      <c r="G78" s="59" t="s">
        <v>107</v>
      </c>
      <c r="H78" s="58" t="s">
        <v>1120</v>
      </c>
      <c r="I78" s="78" t="s">
        <v>1125</v>
      </c>
      <c r="J78" s="78" t="s">
        <v>1193</v>
      </c>
      <c r="K78" s="20">
        <v>1</v>
      </c>
      <c r="L78" s="20">
        <v>1</v>
      </c>
      <c r="M78" s="20" t="s">
        <v>1095</v>
      </c>
      <c r="N78" s="59" t="s">
        <v>718</v>
      </c>
      <c r="O78" s="20" t="s">
        <v>76</v>
      </c>
      <c r="P78" s="20"/>
      <c r="Q78" s="20" t="s">
        <v>21</v>
      </c>
      <c r="R78" s="20" t="s">
        <v>15</v>
      </c>
      <c r="S78" s="20"/>
      <c r="T78" s="20" t="s">
        <v>346</v>
      </c>
      <c r="U78" s="20" t="s">
        <v>346</v>
      </c>
      <c r="V78" s="20" t="s">
        <v>1259</v>
      </c>
      <c r="W78" s="20" t="s">
        <v>1256</v>
      </c>
      <c r="X78" s="59" t="s">
        <v>1040</v>
      </c>
      <c r="Y78" s="20" t="s">
        <v>717</v>
      </c>
      <c r="Z78" s="71">
        <v>0</v>
      </c>
      <c r="AA78" s="71">
        <v>23400</v>
      </c>
      <c r="AB78" s="71">
        <v>23400</v>
      </c>
      <c r="AC78" s="71">
        <v>23400</v>
      </c>
      <c r="AD78" s="110">
        <f>$AC78*$K78</f>
        <v>23400</v>
      </c>
      <c r="AE78" s="118"/>
    </row>
    <row r="79" spans="2:33" s="60" customFormat="1" x14ac:dyDescent="0.2">
      <c r="B79" s="12">
        <v>77</v>
      </c>
      <c r="C79" s="20">
        <v>3</v>
      </c>
      <c r="D79" s="20">
        <v>350001184</v>
      </c>
      <c r="E79" s="20" t="str">
        <f t="shared" si="0"/>
        <v>350001184</v>
      </c>
      <c r="F79" s="20" t="s">
        <v>422</v>
      </c>
      <c r="G79" s="59" t="s">
        <v>108</v>
      </c>
      <c r="H79" s="58" t="s">
        <v>1228</v>
      </c>
      <c r="I79" s="78" t="s">
        <v>1220</v>
      </c>
      <c r="J79" s="78" t="s">
        <v>1193</v>
      </c>
      <c r="K79" s="20">
        <v>2</v>
      </c>
      <c r="L79" s="20">
        <v>2</v>
      </c>
      <c r="M79" s="20" t="s">
        <v>1095</v>
      </c>
      <c r="N79" s="59" t="s">
        <v>720</v>
      </c>
      <c r="O79" s="20" t="s">
        <v>77</v>
      </c>
      <c r="P79" s="20"/>
      <c r="Q79" s="20" t="s">
        <v>18</v>
      </c>
      <c r="R79" s="20" t="s">
        <v>15</v>
      </c>
      <c r="S79" s="20"/>
      <c r="T79" s="20" t="s">
        <v>346</v>
      </c>
      <c r="U79" s="20" t="s">
        <v>346</v>
      </c>
      <c r="V79" s="20" t="s">
        <v>836</v>
      </c>
      <c r="W79" s="59" t="s">
        <v>804</v>
      </c>
      <c r="X79" s="59" t="s">
        <v>751</v>
      </c>
      <c r="Y79" s="20" t="s">
        <v>717</v>
      </c>
      <c r="Z79" s="71">
        <v>0</v>
      </c>
      <c r="AA79" s="71">
        <v>2470</v>
      </c>
      <c r="AB79" s="71">
        <v>4940</v>
      </c>
      <c r="AC79" s="71">
        <v>2470</v>
      </c>
      <c r="AD79" s="105">
        <f>$AC79*$K79</f>
        <v>4940</v>
      </c>
      <c r="AE79" s="117"/>
    </row>
    <row r="80" spans="2:33" s="57" customFormat="1" x14ac:dyDescent="0.2">
      <c r="B80" s="12">
        <v>78</v>
      </c>
      <c r="C80" s="20">
        <v>3</v>
      </c>
      <c r="D80" s="20">
        <v>430000724</v>
      </c>
      <c r="E80" s="20" t="str">
        <f t="shared" si="0"/>
        <v>430000724</v>
      </c>
      <c r="F80" s="20" t="s">
        <v>432</v>
      </c>
      <c r="G80" s="59" t="s">
        <v>110</v>
      </c>
      <c r="H80" s="58" t="s">
        <v>747</v>
      </c>
      <c r="I80" s="78" t="s">
        <v>1126</v>
      </c>
      <c r="J80" s="78" t="s">
        <v>1193</v>
      </c>
      <c r="K80" s="20">
        <v>2</v>
      </c>
      <c r="L80" s="20">
        <v>2</v>
      </c>
      <c r="M80" s="20" t="s">
        <v>1095</v>
      </c>
      <c r="N80" s="59" t="s">
        <v>720</v>
      </c>
      <c r="O80" s="20" t="s">
        <v>14</v>
      </c>
      <c r="P80" s="20"/>
      <c r="Q80" s="20" t="s">
        <v>18</v>
      </c>
      <c r="R80" s="20" t="s">
        <v>15</v>
      </c>
      <c r="S80" s="20"/>
      <c r="T80" s="20" t="s">
        <v>346</v>
      </c>
      <c r="U80" s="20" t="s">
        <v>346</v>
      </c>
      <c r="V80" s="20" t="s">
        <v>1238</v>
      </c>
      <c r="W80" s="59" t="s">
        <v>805</v>
      </c>
      <c r="X80" s="59" t="s">
        <v>840</v>
      </c>
      <c r="Y80" s="20" t="s">
        <v>843</v>
      </c>
      <c r="Z80" s="71">
        <v>0</v>
      </c>
      <c r="AA80" s="71">
        <v>75000</v>
      </c>
      <c r="AB80" s="71">
        <v>150000</v>
      </c>
      <c r="AC80" s="71">
        <v>23.08</v>
      </c>
      <c r="AD80" s="105">
        <f>($Y$1*$AC80)*$K80</f>
        <v>62592.959999999992</v>
      </c>
      <c r="AE80" s="118"/>
    </row>
    <row r="81" spans="2:31" s="57" customFormat="1" x14ac:dyDescent="0.2">
      <c r="B81" s="12">
        <v>79</v>
      </c>
      <c r="C81" s="20">
        <v>3</v>
      </c>
      <c r="D81" s="20" t="s">
        <v>367</v>
      </c>
      <c r="E81" s="20" t="str">
        <f t="shared" ref="E81:E135" si="9">TRIM(D81)</f>
        <v>44S0093</v>
      </c>
      <c r="F81" s="20" t="s">
        <v>433</v>
      </c>
      <c r="G81" s="59" t="s">
        <v>382</v>
      </c>
      <c r="H81" s="58" t="s">
        <v>747</v>
      </c>
      <c r="I81" s="78" t="s">
        <v>1127</v>
      </c>
      <c r="J81" s="78" t="s">
        <v>1193</v>
      </c>
      <c r="K81" s="20">
        <v>4</v>
      </c>
      <c r="L81" s="20">
        <v>4</v>
      </c>
      <c r="M81" s="20" t="s">
        <v>1095</v>
      </c>
      <c r="N81" s="59" t="s">
        <v>718</v>
      </c>
      <c r="O81" s="20" t="s">
        <v>14</v>
      </c>
      <c r="P81" s="20"/>
      <c r="Q81" s="20" t="s">
        <v>55</v>
      </c>
      <c r="R81" s="20" t="s">
        <v>15</v>
      </c>
      <c r="S81" s="20"/>
      <c r="T81" s="20" t="s">
        <v>346</v>
      </c>
      <c r="U81" s="20" t="s">
        <v>346</v>
      </c>
      <c r="V81" s="20" t="s">
        <v>1238</v>
      </c>
      <c r="W81" s="59" t="s">
        <v>805</v>
      </c>
      <c r="X81" s="59" t="s">
        <v>840</v>
      </c>
      <c r="Y81" s="20" t="s">
        <v>843</v>
      </c>
      <c r="Z81" s="71">
        <v>0</v>
      </c>
      <c r="AA81" s="71">
        <v>400</v>
      </c>
      <c r="AB81" s="71">
        <v>400</v>
      </c>
      <c r="AC81" s="71">
        <v>9.4700000000000006</v>
      </c>
      <c r="AD81" s="105">
        <f>$AC81*$Y$1</f>
        <v>12841.320000000002</v>
      </c>
      <c r="AE81" s="118"/>
    </row>
    <row r="82" spans="2:31" s="57" customFormat="1" x14ac:dyDescent="0.2">
      <c r="B82" s="12">
        <v>80</v>
      </c>
      <c r="C82" s="20">
        <v>3</v>
      </c>
      <c r="D82" s="20">
        <v>9200106</v>
      </c>
      <c r="E82" s="20" t="str">
        <f t="shared" si="9"/>
        <v>9200106</v>
      </c>
      <c r="F82" s="20" t="s">
        <v>434</v>
      </c>
      <c r="G82" s="59" t="s">
        <v>361</v>
      </c>
      <c r="H82" s="58" t="s">
        <v>728</v>
      </c>
      <c r="I82" s="78" t="s">
        <v>824</v>
      </c>
      <c r="J82" s="78" t="s">
        <v>1193</v>
      </c>
      <c r="K82" s="20">
        <v>0</v>
      </c>
      <c r="L82" s="20">
        <v>0</v>
      </c>
      <c r="M82" s="20" t="s">
        <v>1077</v>
      </c>
      <c r="N82" s="59" t="s">
        <v>719</v>
      </c>
      <c r="O82" s="20" t="s">
        <v>90</v>
      </c>
      <c r="P82" s="20"/>
      <c r="Q82" s="20" t="s">
        <v>25</v>
      </c>
      <c r="R82" s="20" t="s">
        <v>15</v>
      </c>
      <c r="S82" s="20"/>
      <c r="T82" s="20" t="s">
        <v>346</v>
      </c>
      <c r="U82" s="20" t="s">
        <v>346</v>
      </c>
      <c r="V82" s="20" t="s">
        <v>738</v>
      </c>
      <c r="W82" s="59" t="s">
        <v>735</v>
      </c>
      <c r="X82" s="59" t="s">
        <v>842</v>
      </c>
      <c r="Y82" s="20" t="s">
        <v>717</v>
      </c>
      <c r="Z82" s="71">
        <v>0</v>
      </c>
      <c r="AA82" s="71">
        <v>28800</v>
      </c>
      <c r="AB82" s="71">
        <v>0</v>
      </c>
      <c r="AC82" s="71">
        <v>28800</v>
      </c>
      <c r="AD82" s="110">
        <v>0</v>
      </c>
      <c r="AE82" s="118" t="s">
        <v>1262</v>
      </c>
    </row>
    <row r="83" spans="2:31" s="57" customFormat="1" x14ac:dyDescent="0.2">
      <c r="B83" s="15">
        <v>81</v>
      </c>
      <c r="C83" s="11">
        <v>2</v>
      </c>
      <c r="D83" s="11">
        <v>110144590</v>
      </c>
      <c r="E83" s="11" t="str">
        <f t="shared" si="9"/>
        <v>110144590</v>
      </c>
      <c r="F83" s="11" t="s">
        <v>435</v>
      </c>
      <c r="G83" s="48" t="s">
        <v>116</v>
      </c>
      <c r="H83" s="47" t="s">
        <v>712</v>
      </c>
      <c r="I83" s="77" t="s">
        <v>1137</v>
      </c>
      <c r="J83" s="77" t="s">
        <v>1137</v>
      </c>
      <c r="K83" s="11">
        <v>1</v>
      </c>
      <c r="L83" s="11">
        <v>1</v>
      </c>
      <c r="M83" s="11" t="s">
        <v>1094</v>
      </c>
      <c r="N83" s="48" t="s">
        <v>1137</v>
      </c>
      <c r="O83" s="11" t="s">
        <v>14</v>
      </c>
      <c r="P83" s="11"/>
      <c r="Q83" s="11" t="s">
        <v>21</v>
      </c>
      <c r="R83" s="11" t="s">
        <v>38</v>
      </c>
      <c r="S83" s="11"/>
      <c r="T83" s="11" t="s">
        <v>354</v>
      </c>
      <c r="U83" s="11" t="s">
        <v>354</v>
      </c>
      <c r="V83" s="11"/>
      <c r="W83" s="48"/>
      <c r="X83" s="48"/>
      <c r="Y83" s="11"/>
      <c r="Z83" s="70"/>
      <c r="AA83" s="70"/>
      <c r="AB83" s="70"/>
      <c r="AC83" s="70"/>
      <c r="AD83" s="108"/>
      <c r="AE83" s="118"/>
    </row>
    <row r="84" spans="2:31" s="57" customFormat="1" ht="27" x14ac:dyDescent="0.2">
      <c r="B84" s="19">
        <v>82</v>
      </c>
      <c r="C84" s="18">
        <v>3</v>
      </c>
      <c r="D84" s="18">
        <v>120213988</v>
      </c>
      <c r="E84" s="18" t="str">
        <f t="shared" si="9"/>
        <v>120213988</v>
      </c>
      <c r="F84" s="27" t="s">
        <v>436</v>
      </c>
      <c r="G84" s="56" t="s">
        <v>118</v>
      </c>
      <c r="H84" s="55" t="s">
        <v>759</v>
      </c>
      <c r="I84" s="76" t="s">
        <v>1224</v>
      </c>
      <c r="J84" s="76" t="s">
        <v>1137</v>
      </c>
      <c r="K84" s="18">
        <v>1</v>
      </c>
      <c r="L84" s="18">
        <v>1</v>
      </c>
      <c r="M84" s="18" t="s">
        <v>1095</v>
      </c>
      <c r="N84" s="56" t="s">
        <v>720</v>
      </c>
      <c r="O84" s="18" t="s">
        <v>14</v>
      </c>
      <c r="P84" s="18"/>
      <c r="Q84" s="18" t="s">
        <v>21</v>
      </c>
      <c r="R84" s="18" t="s">
        <v>38</v>
      </c>
      <c r="S84" s="18"/>
      <c r="T84" s="18" t="s">
        <v>393</v>
      </c>
      <c r="U84" s="18" t="s">
        <v>355</v>
      </c>
      <c r="V84" s="18" t="s">
        <v>721</v>
      </c>
      <c r="W84" s="55"/>
      <c r="X84" s="55" t="s">
        <v>1129</v>
      </c>
      <c r="Y84" s="18" t="s">
        <v>717</v>
      </c>
      <c r="Z84" s="73">
        <v>0</v>
      </c>
      <c r="AA84" s="73">
        <v>103382</v>
      </c>
      <c r="AB84" s="73">
        <v>103382</v>
      </c>
      <c r="AC84" s="73">
        <v>99052</v>
      </c>
      <c r="AD84" s="110">
        <f>$AC84*$K84</f>
        <v>99052</v>
      </c>
      <c r="AE84" s="118"/>
    </row>
    <row r="85" spans="2:31" s="57" customFormat="1" x14ac:dyDescent="0.2">
      <c r="B85" s="19">
        <v>83</v>
      </c>
      <c r="C85" s="18">
        <v>4</v>
      </c>
      <c r="D85" s="18" t="s">
        <v>1162</v>
      </c>
      <c r="E85" s="18" t="str">
        <f t="shared" ref="E85:E86" si="10">TRIM(D85)</f>
        <v>120213988-1</v>
      </c>
      <c r="F85" s="27" t="s">
        <v>436</v>
      </c>
      <c r="G85" s="56" t="s">
        <v>118</v>
      </c>
      <c r="H85" s="55" t="s">
        <v>759</v>
      </c>
      <c r="I85" s="76" t="s">
        <v>1165</v>
      </c>
      <c r="J85" s="76" t="s">
        <v>1193</v>
      </c>
      <c r="K85" s="18">
        <v>1</v>
      </c>
      <c r="L85" s="18">
        <v>1</v>
      </c>
      <c r="M85" s="18" t="s">
        <v>1095</v>
      </c>
      <c r="N85" s="56" t="s">
        <v>720</v>
      </c>
      <c r="O85" s="18"/>
      <c r="P85" s="18"/>
      <c r="Q85" s="18"/>
      <c r="R85" s="18"/>
      <c r="S85" s="18"/>
      <c r="T85" s="18"/>
      <c r="U85" s="18"/>
      <c r="V85" s="18"/>
      <c r="W85" s="55" t="s">
        <v>1266</v>
      </c>
      <c r="X85" s="55"/>
      <c r="Y85" s="18" t="s">
        <v>717</v>
      </c>
      <c r="Z85" s="73"/>
      <c r="AA85" s="73"/>
      <c r="AB85" s="73"/>
      <c r="AC85" s="73">
        <v>98330</v>
      </c>
      <c r="AD85" s="110"/>
      <c r="AE85" s="118"/>
    </row>
    <row r="86" spans="2:31" s="57" customFormat="1" x14ac:dyDescent="0.2">
      <c r="B86" s="19">
        <v>84</v>
      </c>
      <c r="C86" s="18">
        <v>4</v>
      </c>
      <c r="D86" s="18" t="s">
        <v>1163</v>
      </c>
      <c r="E86" s="18" t="str">
        <f t="shared" si="10"/>
        <v>120213988-2</v>
      </c>
      <c r="F86" s="27" t="s">
        <v>436</v>
      </c>
      <c r="G86" s="56" t="s">
        <v>118</v>
      </c>
      <c r="H86" s="55" t="s">
        <v>1164</v>
      </c>
      <c r="I86" s="76" t="s">
        <v>1166</v>
      </c>
      <c r="J86" s="76" t="s">
        <v>1193</v>
      </c>
      <c r="K86" s="18">
        <v>1</v>
      </c>
      <c r="L86" s="18">
        <v>1</v>
      </c>
      <c r="M86" s="18" t="s">
        <v>1095</v>
      </c>
      <c r="N86" s="56" t="s">
        <v>720</v>
      </c>
      <c r="O86" s="18"/>
      <c r="P86" s="18"/>
      <c r="Q86" s="18"/>
      <c r="R86" s="18"/>
      <c r="S86" s="18"/>
      <c r="T86" s="18"/>
      <c r="U86" s="18"/>
      <c r="V86" s="18" t="s">
        <v>721</v>
      </c>
      <c r="W86" s="55" t="s">
        <v>1167</v>
      </c>
      <c r="X86" s="55"/>
      <c r="Y86" s="18" t="s">
        <v>717</v>
      </c>
      <c r="Z86" s="73"/>
      <c r="AA86" s="73"/>
      <c r="AB86" s="73"/>
      <c r="AC86" s="73">
        <v>26</v>
      </c>
      <c r="AD86" s="110"/>
      <c r="AE86" s="118"/>
    </row>
    <row r="87" spans="2:31" s="57" customFormat="1" x14ac:dyDescent="0.2">
      <c r="B87" s="49">
        <v>85</v>
      </c>
      <c r="C87" s="50">
        <v>4</v>
      </c>
      <c r="D87" s="50">
        <v>330000145</v>
      </c>
      <c r="E87" s="50" t="str">
        <f t="shared" si="9"/>
        <v>330000145</v>
      </c>
      <c r="F87" s="50" t="s">
        <v>410</v>
      </c>
      <c r="G87" s="52" t="s">
        <v>119</v>
      </c>
      <c r="H87" s="51" t="s">
        <v>759</v>
      </c>
      <c r="I87" s="79" t="s">
        <v>1165</v>
      </c>
      <c r="J87" s="79" t="s">
        <v>1193</v>
      </c>
      <c r="K87" s="50">
        <v>1</v>
      </c>
      <c r="L87" s="50">
        <v>1</v>
      </c>
      <c r="M87" s="50" t="s">
        <v>1074</v>
      </c>
      <c r="N87" s="52" t="s">
        <v>712</v>
      </c>
      <c r="O87" s="50" t="s">
        <v>14</v>
      </c>
      <c r="P87" s="50"/>
      <c r="Q87" s="50" t="s">
        <v>21</v>
      </c>
      <c r="R87" s="50" t="s">
        <v>15</v>
      </c>
      <c r="S87" s="50"/>
      <c r="T87" s="50" t="s">
        <v>397</v>
      </c>
      <c r="U87" s="50" t="s">
        <v>383</v>
      </c>
      <c r="V87" s="50" t="s">
        <v>793</v>
      </c>
      <c r="W87" s="52" t="s">
        <v>1266</v>
      </c>
      <c r="X87" s="52" t="s">
        <v>712</v>
      </c>
      <c r="Y87" s="50" t="s">
        <v>717</v>
      </c>
      <c r="Z87" s="72">
        <v>0</v>
      </c>
      <c r="AA87" s="72">
        <v>0</v>
      </c>
      <c r="AB87" s="72">
        <v>0</v>
      </c>
      <c r="AC87" s="72">
        <v>0</v>
      </c>
      <c r="AD87" s="109">
        <v>0</v>
      </c>
      <c r="AE87" s="118"/>
    </row>
    <row r="88" spans="2:31" s="57" customFormat="1" x14ac:dyDescent="0.2">
      <c r="B88" s="49">
        <v>86</v>
      </c>
      <c r="C88" s="50">
        <v>4</v>
      </c>
      <c r="D88" s="53">
        <v>5102969</v>
      </c>
      <c r="E88" s="53" t="str">
        <f t="shared" si="9"/>
        <v>5102969</v>
      </c>
      <c r="F88" s="50" t="s">
        <v>437</v>
      </c>
      <c r="G88" s="52" t="s">
        <v>121</v>
      </c>
      <c r="H88" s="51" t="s">
        <v>760</v>
      </c>
      <c r="I88" s="79" t="s">
        <v>1158</v>
      </c>
      <c r="J88" s="79" t="s">
        <v>1193</v>
      </c>
      <c r="K88" s="50">
        <v>2</v>
      </c>
      <c r="L88" s="50">
        <v>2</v>
      </c>
      <c r="M88" s="50" t="s">
        <v>1074</v>
      </c>
      <c r="N88" s="52" t="s">
        <v>720</v>
      </c>
      <c r="O88" s="50" t="s">
        <v>14</v>
      </c>
      <c r="P88" s="50"/>
      <c r="Q88" s="50" t="s">
        <v>18</v>
      </c>
      <c r="R88" s="50" t="s">
        <v>15</v>
      </c>
      <c r="S88" s="50"/>
      <c r="T88" s="50" t="s">
        <v>397</v>
      </c>
      <c r="U88" s="50" t="s">
        <v>383</v>
      </c>
      <c r="V88" s="50" t="s">
        <v>836</v>
      </c>
      <c r="W88" s="52" t="s">
        <v>804</v>
      </c>
      <c r="X88" s="52" t="s">
        <v>712</v>
      </c>
      <c r="Y88" s="50" t="s">
        <v>717</v>
      </c>
      <c r="Z88" s="72">
        <v>0</v>
      </c>
      <c r="AA88" s="72">
        <v>0</v>
      </c>
      <c r="AB88" s="72">
        <v>0</v>
      </c>
      <c r="AC88" s="72">
        <v>0</v>
      </c>
      <c r="AD88" s="109">
        <v>0</v>
      </c>
      <c r="AE88" s="118"/>
    </row>
    <row r="89" spans="2:31" s="57" customFormat="1" ht="40.5" x14ac:dyDescent="0.2">
      <c r="B89" s="19">
        <v>87</v>
      </c>
      <c r="C89" s="18">
        <v>4</v>
      </c>
      <c r="D89" s="18">
        <v>500000396</v>
      </c>
      <c r="E89" s="18" t="str">
        <f t="shared" si="9"/>
        <v>500000396</v>
      </c>
      <c r="F89" s="18" t="s">
        <v>506</v>
      </c>
      <c r="G89" s="55" t="s">
        <v>694</v>
      </c>
      <c r="H89" s="55" t="s">
        <v>712</v>
      </c>
      <c r="I89" s="76" t="s">
        <v>1137</v>
      </c>
      <c r="J89" s="76" t="s">
        <v>1137</v>
      </c>
      <c r="K89" s="18">
        <v>2</v>
      </c>
      <c r="L89" s="18">
        <v>2</v>
      </c>
      <c r="M89" s="18" t="s">
        <v>1095</v>
      </c>
      <c r="N89" s="56" t="s">
        <v>1137</v>
      </c>
      <c r="O89" s="18"/>
      <c r="P89" s="18"/>
      <c r="Q89" s="18" t="s">
        <v>18</v>
      </c>
      <c r="R89" s="18" t="s">
        <v>15</v>
      </c>
      <c r="S89" s="18"/>
      <c r="T89" s="18"/>
      <c r="U89" s="18"/>
      <c r="V89" s="18"/>
      <c r="W89" s="56"/>
      <c r="X89" s="56"/>
      <c r="Y89" s="18"/>
      <c r="Z89" s="73"/>
      <c r="AA89" s="73"/>
      <c r="AB89" s="73"/>
      <c r="AC89" s="73"/>
      <c r="AD89" s="110"/>
      <c r="AE89" s="118"/>
    </row>
    <row r="90" spans="2:31" s="60" customFormat="1" x14ac:dyDescent="0.2">
      <c r="B90" s="12">
        <v>88</v>
      </c>
      <c r="C90" s="20">
        <v>3</v>
      </c>
      <c r="D90" s="20">
        <v>170168743</v>
      </c>
      <c r="E90" s="20" t="str">
        <f t="shared" si="9"/>
        <v>170168743</v>
      </c>
      <c r="F90" s="20" t="s">
        <v>411</v>
      </c>
      <c r="G90" s="59" t="s">
        <v>122</v>
      </c>
      <c r="H90" s="58" t="s">
        <v>734</v>
      </c>
      <c r="I90" s="78" t="s">
        <v>1137</v>
      </c>
      <c r="J90" s="78" t="s">
        <v>1193</v>
      </c>
      <c r="K90" s="20">
        <v>1</v>
      </c>
      <c r="L90" s="20">
        <v>1</v>
      </c>
      <c r="M90" s="20" t="s">
        <v>1095</v>
      </c>
      <c r="N90" s="59" t="s">
        <v>733</v>
      </c>
      <c r="O90" s="20" t="s">
        <v>14</v>
      </c>
      <c r="P90" s="20"/>
      <c r="Q90" s="20" t="s">
        <v>21</v>
      </c>
      <c r="R90" s="20" t="s">
        <v>15</v>
      </c>
      <c r="S90" s="20"/>
      <c r="T90" s="20" t="s">
        <v>346</v>
      </c>
      <c r="U90" s="20" t="s">
        <v>396</v>
      </c>
      <c r="V90" s="20" t="s">
        <v>792</v>
      </c>
      <c r="W90" s="20" t="s">
        <v>734</v>
      </c>
      <c r="X90" s="59" t="s">
        <v>797</v>
      </c>
      <c r="Y90" s="20" t="s">
        <v>717</v>
      </c>
      <c r="Z90" s="71">
        <v>218312</v>
      </c>
      <c r="AA90" s="71">
        <v>216000</v>
      </c>
      <c r="AB90" s="71">
        <v>216000</v>
      </c>
      <c r="AC90" s="71">
        <v>216000</v>
      </c>
      <c r="AD90" s="105">
        <f>$AC90*$K90</f>
        <v>216000</v>
      </c>
      <c r="AE90" s="121">
        <v>45873</v>
      </c>
    </row>
    <row r="91" spans="2:31" s="60" customFormat="1" x14ac:dyDescent="0.2">
      <c r="B91" s="12">
        <v>89</v>
      </c>
      <c r="C91" s="20">
        <v>3</v>
      </c>
      <c r="D91" s="20">
        <v>170168751</v>
      </c>
      <c r="E91" s="20" t="str">
        <f t="shared" si="9"/>
        <v>170168751</v>
      </c>
      <c r="F91" s="20" t="s">
        <v>410</v>
      </c>
      <c r="G91" s="59" t="s">
        <v>123</v>
      </c>
      <c r="H91" s="58" t="s">
        <v>734</v>
      </c>
      <c r="I91" s="78" t="s">
        <v>1137</v>
      </c>
      <c r="J91" s="78" t="s">
        <v>1193</v>
      </c>
      <c r="K91" s="20">
        <v>1</v>
      </c>
      <c r="L91" s="20">
        <v>1</v>
      </c>
      <c r="M91" s="20" t="s">
        <v>1095</v>
      </c>
      <c r="N91" s="59" t="s">
        <v>733</v>
      </c>
      <c r="O91" s="20" t="s">
        <v>14</v>
      </c>
      <c r="P91" s="20"/>
      <c r="Q91" s="20" t="s">
        <v>21</v>
      </c>
      <c r="R91" s="20" t="s">
        <v>15</v>
      </c>
      <c r="S91" s="20"/>
      <c r="T91" s="20" t="s">
        <v>346</v>
      </c>
      <c r="U91" s="20" t="s">
        <v>396</v>
      </c>
      <c r="V91" s="20" t="s">
        <v>792</v>
      </c>
      <c r="W91" s="20" t="s">
        <v>734</v>
      </c>
      <c r="X91" s="59" t="s">
        <v>797</v>
      </c>
      <c r="Y91" s="20" t="s">
        <v>717</v>
      </c>
      <c r="Z91" s="71">
        <v>0</v>
      </c>
      <c r="AA91" s="71">
        <v>167400</v>
      </c>
      <c r="AB91" s="71">
        <v>167400</v>
      </c>
      <c r="AC91" s="71">
        <v>167400</v>
      </c>
      <c r="AD91" s="105">
        <f>$AC91*$K91</f>
        <v>167400</v>
      </c>
      <c r="AE91" s="121">
        <v>45873</v>
      </c>
    </row>
    <row r="92" spans="2:31" s="57" customFormat="1" x14ac:dyDescent="0.2">
      <c r="B92" s="12">
        <v>90</v>
      </c>
      <c r="C92" s="20">
        <v>3</v>
      </c>
      <c r="D92" s="20">
        <v>320000363</v>
      </c>
      <c r="E92" s="20" t="str">
        <f t="shared" si="9"/>
        <v>320000363</v>
      </c>
      <c r="F92" s="20" t="s">
        <v>412</v>
      </c>
      <c r="G92" s="59" t="s">
        <v>103</v>
      </c>
      <c r="H92" s="58" t="s">
        <v>766</v>
      </c>
      <c r="I92" s="78" t="s">
        <v>820</v>
      </c>
      <c r="J92" s="78" t="s">
        <v>1193</v>
      </c>
      <c r="K92" s="20">
        <v>1</v>
      </c>
      <c r="L92" s="20">
        <v>1</v>
      </c>
      <c r="M92" s="20" t="s">
        <v>1095</v>
      </c>
      <c r="N92" s="59" t="s">
        <v>801</v>
      </c>
      <c r="O92" s="20" t="s">
        <v>14</v>
      </c>
      <c r="P92" s="20"/>
      <c r="Q92" s="20" t="s">
        <v>21</v>
      </c>
      <c r="R92" s="20" t="s">
        <v>15</v>
      </c>
      <c r="S92" s="20"/>
      <c r="T92" s="20" t="s">
        <v>346</v>
      </c>
      <c r="U92" s="20" t="s">
        <v>346</v>
      </c>
      <c r="V92" s="20" t="s">
        <v>1238</v>
      </c>
      <c r="W92" s="59" t="s">
        <v>805</v>
      </c>
      <c r="X92" s="59" t="s">
        <v>839</v>
      </c>
      <c r="Y92" s="20" t="s">
        <v>843</v>
      </c>
      <c r="Z92" s="71">
        <v>0</v>
      </c>
      <c r="AA92" s="71">
        <v>290000</v>
      </c>
      <c r="AB92" s="71">
        <v>290000</v>
      </c>
      <c r="AC92" s="71">
        <v>89.59</v>
      </c>
      <c r="AD92" s="105">
        <f>($Y$1*$AC92)*$K92</f>
        <v>121484.04000000001</v>
      </c>
      <c r="AE92" s="118"/>
    </row>
    <row r="93" spans="2:31" s="57" customFormat="1" x14ac:dyDescent="0.2">
      <c r="B93" s="12">
        <v>91</v>
      </c>
      <c r="C93" s="20">
        <v>3</v>
      </c>
      <c r="D93" s="20">
        <v>340002212</v>
      </c>
      <c r="E93" s="20" t="str">
        <f t="shared" si="9"/>
        <v>340002212</v>
      </c>
      <c r="F93" s="20" t="s">
        <v>410</v>
      </c>
      <c r="G93" s="59" t="s">
        <v>104</v>
      </c>
      <c r="H93" s="58" t="s">
        <v>747</v>
      </c>
      <c r="I93" s="78" t="s">
        <v>821</v>
      </c>
      <c r="J93" s="78" t="s">
        <v>1193</v>
      </c>
      <c r="K93" s="20">
        <v>2</v>
      </c>
      <c r="L93" s="20">
        <v>2</v>
      </c>
      <c r="M93" s="20" t="s">
        <v>1095</v>
      </c>
      <c r="N93" s="59" t="s">
        <v>720</v>
      </c>
      <c r="O93" s="20" t="s">
        <v>14</v>
      </c>
      <c r="P93" s="20"/>
      <c r="Q93" s="20" t="s">
        <v>18</v>
      </c>
      <c r="R93" s="20" t="s">
        <v>15</v>
      </c>
      <c r="S93" s="20"/>
      <c r="T93" s="20" t="s">
        <v>346</v>
      </c>
      <c r="U93" s="20" t="s">
        <v>346</v>
      </c>
      <c r="V93" s="20" t="s">
        <v>1240</v>
      </c>
      <c r="W93" s="59" t="s">
        <v>805</v>
      </c>
      <c r="X93" s="59" t="s">
        <v>840</v>
      </c>
      <c r="Y93" s="20" t="s">
        <v>843</v>
      </c>
      <c r="Z93" s="71">
        <v>0</v>
      </c>
      <c r="AA93" s="71">
        <v>163000</v>
      </c>
      <c r="AB93" s="71">
        <v>326000</v>
      </c>
      <c r="AC93" s="71">
        <v>62.91</v>
      </c>
      <c r="AD93" s="105">
        <f>($Y$1*$AC93)*$K93</f>
        <v>170611.91999999998</v>
      </c>
      <c r="AE93" s="118"/>
    </row>
    <row r="94" spans="2:31" s="57" customFormat="1" x14ac:dyDescent="0.2">
      <c r="B94" s="12">
        <v>92</v>
      </c>
      <c r="C94" s="20">
        <v>3</v>
      </c>
      <c r="D94" s="20">
        <v>3402049</v>
      </c>
      <c r="E94" s="20" t="str">
        <f t="shared" si="9"/>
        <v>3402049</v>
      </c>
      <c r="F94" s="20" t="s">
        <v>422</v>
      </c>
      <c r="G94" s="59" t="s">
        <v>366</v>
      </c>
      <c r="H94" s="58" t="s">
        <v>1124</v>
      </c>
      <c r="I94" s="78" t="s">
        <v>1130</v>
      </c>
      <c r="J94" s="78" t="s">
        <v>1193</v>
      </c>
      <c r="K94" s="20">
        <v>1</v>
      </c>
      <c r="L94" s="20">
        <v>1</v>
      </c>
      <c r="M94" s="20" t="s">
        <v>1095</v>
      </c>
      <c r="N94" s="59" t="s">
        <v>720</v>
      </c>
      <c r="O94" s="20" t="s">
        <v>14</v>
      </c>
      <c r="P94" s="20"/>
      <c r="Q94" s="20" t="s">
        <v>21</v>
      </c>
      <c r="R94" s="20" t="s">
        <v>15</v>
      </c>
      <c r="S94" s="20"/>
      <c r="T94" s="20" t="s">
        <v>346</v>
      </c>
      <c r="U94" s="20" t="s">
        <v>346</v>
      </c>
      <c r="V94" s="20" t="s">
        <v>721</v>
      </c>
      <c r="W94" s="59" t="s">
        <v>806</v>
      </c>
      <c r="X94" s="59" t="s">
        <v>841</v>
      </c>
      <c r="Y94" s="20" t="s">
        <v>717</v>
      </c>
      <c r="Z94" s="71">
        <v>0</v>
      </c>
      <c r="AA94" s="71">
        <v>68969</v>
      </c>
      <c r="AB94" s="71">
        <f>AA94*K94</f>
        <v>68969</v>
      </c>
      <c r="AC94" s="71">
        <v>90219</v>
      </c>
      <c r="AD94" s="105">
        <f>$AC94*$K94</f>
        <v>90219</v>
      </c>
      <c r="AE94" s="118"/>
    </row>
    <row r="95" spans="2:31" s="57" customFormat="1" x14ac:dyDescent="0.2">
      <c r="B95" s="12">
        <v>93</v>
      </c>
      <c r="C95" s="20">
        <v>3</v>
      </c>
      <c r="D95" s="20">
        <v>3402684</v>
      </c>
      <c r="E95" s="20" t="str">
        <f t="shared" si="9"/>
        <v>3402684</v>
      </c>
      <c r="F95" s="20" t="s">
        <v>410</v>
      </c>
      <c r="G95" s="59" t="s">
        <v>107</v>
      </c>
      <c r="H95" s="58" t="s">
        <v>1120</v>
      </c>
      <c r="I95" s="78" t="s">
        <v>1131</v>
      </c>
      <c r="J95" s="78" t="s">
        <v>1193</v>
      </c>
      <c r="K95" s="20">
        <v>1</v>
      </c>
      <c r="L95" s="20">
        <v>1</v>
      </c>
      <c r="M95" s="20" t="s">
        <v>1095</v>
      </c>
      <c r="N95" s="59" t="s">
        <v>718</v>
      </c>
      <c r="O95" s="20" t="s">
        <v>14</v>
      </c>
      <c r="P95" s="20"/>
      <c r="Q95" s="20" t="s">
        <v>21</v>
      </c>
      <c r="R95" s="20" t="s">
        <v>15</v>
      </c>
      <c r="S95" s="20"/>
      <c r="T95" s="20" t="s">
        <v>346</v>
      </c>
      <c r="U95" s="20" t="s">
        <v>346</v>
      </c>
      <c r="V95" s="20" t="s">
        <v>1259</v>
      </c>
      <c r="W95" s="20" t="s">
        <v>1256</v>
      </c>
      <c r="X95" s="59" t="s">
        <v>1040</v>
      </c>
      <c r="Y95" s="20" t="s">
        <v>717</v>
      </c>
      <c r="Z95" s="71">
        <v>0</v>
      </c>
      <c r="AA95" s="71">
        <v>23400</v>
      </c>
      <c r="AB95" s="71">
        <v>23400</v>
      </c>
      <c r="AC95" s="71">
        <v>23400</v>
      </c>
      <c r="AD95" s="110">
        <f>$AC95*$K95</f>
        <v>23400</v>
      </c>
      <c r="AE95" s="118"/>
    </row>
    <row r="96" spans="2:31" s="57" customFormat="1" x14ac:dyDescent="0.2">
      <c r="B96" s="12">
        <v>94</v>
      </c>
      <c r="C96" s="20">
        <v>3</v>
      </c>
      <c r="D96" s="20">
        <v>350001184</v>
      </c>
      <c r="E96" s="20" t="str">
        <f t="shared" si="9"/>
        <v>350001184</v>
      </c>
      <c r="F96" s="20" t="s">
        <v>422</v>
      </c>
      <c r="G96" s="59" t="s">
        <v>108</v>
      </c>
      <c r="H96" s="58" t="s">
        <v>1228</v>
      </c>
      <c r="I96" s="78" t="s">
        <v>1220</v>
      </c>
      <c r="J96" s="78" t="s">
        <v>1193</v>
      </c>
      <c r="K96" s="20">
        <v>2</v>
      </c>
      <c r="L96" s="20">
        <v>2</v>
      </c>
      <c r="M96" s="20" t="s">
        <v>1095</v>
      </c>
      <c r="N96" s="59" t="s">
        <v>720</v>
      </c>
      <c r="O96" s="20" t="s">
        <v>14</v>
      </c>
      <c r="P96" s="20"/>
      <c r="Q96" s="20" t="s">
        <v>18</v>
      </c>
      <c r="R96" s="20" t="s">
        <v>15</v>
      </c>
      <c r="S96" s="20"/>
      <c r="T96" s="20" t="s">
        <v>346</v>
      </c>
      <c r="U96" s="20" t="s">
        <v>346</v>
      </c>
      <c r="V96" s="20" t="s">
        <v>836</v>
      </c>
      <c r="W96" s="59" t="s">
        <v>804</v>
      </c>
      <c r="X96" s="59" t="s">
        <v>751</v>
      </c>
      <c r="Y96" s="20" t="s">
        <v>717</v>
      </c>
      <c r="Z96" s="71">
        <v>0</v>
      </c>
      <c r="AA96" s="71">
        <v>2470</v>
      </c>
      <c r="AB96" s="71">
        <v>4940</v>
      </c>
      <c r="AC96" s="71">
        <v>2470</v>
      </c>
      <c r="AD96" s="105">
        <f>$AC96*$K96</f>
        <v>4940</v>
      </c>
      <c r="AE96" s="118"/>
    </row>
    <row r="97" spans="1:31" s="57" customFormat="1" x14ac:dyDescent="0.2">
      <c r="B97" s="12">
        <v>95</v>
      </c>
      <c r="C97" s="20">
        <v>3</v>
      </c>
      <c r="D97" s="20">
        <v>430000724</v>
      </c>
      <c r="E97" s="20" t="str">
        <f t="shared" si="9"/>
        <v>430000724</v>
      </c>
      <c r="F97" s="20" t="s">
        <v>432</v>
      </c>
      <c r="G97" s="59" t="s">
        <v>110</v>
      </c>
      <c r="H97" s="58" t="s">
        <v>747</v>
      </c>
      <c r="I97" s="78" t="s">
        <v>1126</v>
      </c>
      <c r="J97" s="78" t="s">
        <v>1193</v>
      </c>
      <c r="K97" s="20">
        <v>2</v>
      </c>
      <c r="L97" s="20">
        <v>2</v>
      </c>
      <c r="M97" s="20" t="s">
        <v>1095</v>
      </c>
      <c r="N97" s="59" t="s">
        <v>720</v>
      </c>
      <c r="O97" s="20" t="s">
        <v>14</v>
      </c>
      <c r="P97" s="20"/>
      <c r="Q97" s="20" t="s">
        <v>18</v>
      </c>
      <c r="R97" s="20" t="s">
        <v>15</v>
      </c>
      <c r="S97" s="20"/>
      <c r="T97" s="20" t="s">
        <v>346</v>
      </c>
      <c r="U97" s="20" t="s">
        <v>346</v>
      </c>
      <c r="V97" s="20" t="s">
        <v>1238</v>
      </c>
      <c r="W97" s="59" t="s">
        <v>805</v>
      </c>
      <c r="X97" s="59" t="s">
        <v>840</v>
      </c>
      <c r="Y97" s="20" t="s">
        <v>843</v>
      </c>
      <c r="Z97" s="71">
        <v>0</v>
      </c>
      <c r="AA97" s="71">
        <v>75000</v>
      </c>
      <c r="AB97" s="71">
        <v>150000</v>
      </c>
      <c r="AC97" s="71">
        <v>23.08</v>
      </c>
      <c r="AD97" s="105">
        <f>($Y$1*$AC97)*$K97</f>
        <v>62592.959999999992</v>
      </c>
      <c r="AE97" s="118"/>
    </row>
    <row r="98" spans="1:31" s="57" customFormat="1" x14ac:dyDescent="0.2">
      <c r="B98" s="12">
        <v>96</v>
      </c>
      <c r="C98" s="20">
        <v>3</v>
      </c>
      <c r="D98" s="20" t="s">
        <v>367</v>
      </c>
      <c r="E98" s="20" t="str">
        <f t="shared" si="9"/>
        <v>44S0093</v>
      </c>
      <c r="F98" s="20" t="s">
        <v>433</v>
      </c>
      <c r="G98" s="59" t="s">
        <v>112</v>
      </c>
      <c r="H98" s="58" t="s">
        <v>747</v>
      </c>
      <c r="I98" s="78" t="s">
        <v>1127</v>
      </c>
      <c r="J98" s="78" t="s">
        <v>1193</v>
      </c>
      <c r="K98" s="20">
        <v>4</v>
      </c>
      <c r="L98" s="20">
        <v>4</v>
      </c>
      <c r="M98" s="20" t="s">
        <v>1095</v>
      </c>
      <c r="N98" s="59" t="s">
        <v>718</v>
      </c>
      <c r="O98" s="20" t="s">
        <v>14</v>
      </c>
      <c r="P98" s="20"/>
      <c r="Q98" s="20" t="s">
        <v>55</v>
      </c>
      <c r="R98" s="20" t="s">
        <v>15</v>
      </c>
      <c r="S98" s="20"/>
      <c r="T98" s="20" t="s">
        <v>346</v>
      </c>
      <c r="U98" s="20" t="s">
        <v>346</v>
      </c>
      <c r="V98" s="20" t="s">
        <v>1238</v>
      </c>
      <c r="W98" s="59" t="s">
        <v>805</v>
      </c>
      <c r="X98" s="59" t="s">
        <v>840</v>
      </c>
      <c r="Y98" s="20" t="s">
        <v>843</v>
      </c>
      <c r="Z98" s="71">
        <v>0</v>
      </c>
      <c r="AA98" s="71">
        <v>400</v>
      </c>
      <c r="AB98" s="71">
        <v>400</v>
      </c>
      <c r="AC98" s="71">
        <v>9.4700000000000006</v>
      </c>
      <c r="AD98" s="105">
        <v>0</v>
      </c>
      <c r="AE98" s="118"/>
    </row>
    <row r="99" spans="1:31" s="57" customFormat="1" x14ac:dyDescent="0.2">
      <c r="B99" s="12">
        <v>97</v>
      </c>
      <c r="C99" s="20">
        <v>3</v>
      </c>
      <c r="D99" s="20">
        <v>9200106</v>
      </c>
      <c r="E99" s="20" t="str">
        <f t="shared" si="9"/>
        <v>9200106</v>
      </c>
      <c r="F99" s="20" t="s">
        <v>434</v>
      </c>
      <c r="G99" s="59" t="s">
        <v>114</v>
      </c>
      <c r="H99" s="58" t="s">
        <v>728</v>
      </c>
      <c r="I99" s="78" t="s">
        <v>824</v>
      </c>
      <c r="J99" s="78" t="s">
        <v>1193</v>
      </c>
      <c r="K99" s="20">
        <v>0</v>
      </c>
      <c r="L99" s="20">
        <v>0</v>
      </c>
      <c r="M99" s="20" t="s">
        <v>1076</v>
      </c>
      <c r="N99" s="59" t="s">
        <v>719</v>
      </c>
      <c r="O99" s="20" t="s">
        <v>14</v>
      </c>
      <c r="P99" s="20"/>
      <c r="Q99" s="20" t="s">
        <v>25</v>
      </c>
      <c r="R99" s="20" t="s">
        <v>15</v>
      </c>
      <c r="S99" s="20"/>
      <c r="T99" s="20" t="s">
        <v>346</v>
      </c>
      <c r="U99" s="20" t="s">
        <v>346</v>
      </c>
      <c r="V99" s="20" t="s">
        <v>738</v>
      </c>
      <c r="W99" s="59" t="s">
        <v>735</v>
      </c>
      <c r="X99" s="59" t="s">
        <v>842</v>
      </c>
      <c r="Y99" s="20" t="s">
        <v>717</v>
      </c>
      <c r="Z99" s="71">
        <v>0</v>
      </c>
      <c r="AA99" s="71">
        <v>28800</v>
      </c>
      <c r="AB99" s="71">
        <v>0</v>
      </c>
      <c r="AC99" s="71">
        <v>28800</v>
      </c>
      <c r="AD99" s="110">
        <v>0</v>
      </c>
      <c r="AE99" s="118" t="s">
        <v>1262</v>
      </c>
    </row>
    <row r="100" spans="1:31" s="57" customFormat="1" x14ac:dyDescent="0.2">
      <c r="B100" s="19">
        <v>98</v>
      </c>
      <c r="C100" s="18">
        <v>2</v>
      </c>
      <c r="D100" s="18">
        <v>110144600</v>
      </c>
      <c r="E100" s="18" t="str">
        <f t="shared" si="9"/>
        <v>110144600</v>
      </c>
      <c r="F100" s="27" t="s">
        <v>438</v>
      </c>
      <c r="G100" s="56" t="s">
        <v>125</v>
      </c>
      <c r="H100" s="55" t="s">
        <v>712</v>
      </c>
      <c r="I100" s="76" t="s">
        <v>397</v>
      </c>
      <c r="J100" s="76" t="s">
        <v>1193</v>
      </c>
      <c r="K100" s="18">
        <v>1</v>
      </c>
      <c r="L100" s="18">
        <v>1</v>
      </c>
      <c r="M100" s="18" t="s">
        <v>1095</v>
      </c>
      <c r="N100" s="56" t="s">
        <v>712</v>
      </c>
      <c r="O100" s="18" t="s">
        <v>14</v>
      </c>
      <c r="P100" s="18"/>
      <c r="Q100" s="18" t="s">
        <v>21</v>
      </c>
      <c r="R100" s="18" t="s">
        <v>38</v>
      </c>
      <c r="S100" s="18"/>
      <c r="T100" s="18" t="s">
        <v>354</v>
      </c>
      <c r="U100" s="18" t="s">
        <v>354</v>
      </c>
      <c r="V100" s="18" t="s">
        <v>1260</v>
      </c>
      <c r="W100" s="56" t="s">
        <v>807</v>
      </c>
      <c r="X100" s="56" t="s">
        <v>712</v>
      </c>
      <c r="Y100" s="18" t="s">
        <v>717</v>
      </c>
      <c r="Z100" s="73">
        <v>0</v>
      </c>
      <c r="AA100" s="73">
        <v>0</v>
      </c>
      <c r="AB100" s="73">
        <v>0</v>
      </c>
      <c r="AC100" s="73">
        <v>0</v>
      </c>
      <c r="AD100" s="110">
        <v>0</v>
      </c>
      <c r="AE100" s="118"/>
    </row>
    <row r="101" spans="1:31" s="57" customFormat="1" ht="27" x14ac:dyDescent="0.2">
      <c r="B101" s="12">
        <v>99</v>
      </c>
      <c r="C101" s="20">
        <v>3</v>
      </c>
      <c r="D101" s="20">
        <v>120213988</v>
      </c>
      <c r="E101" s="20" t="str">
        <f t="shared" si="9"/>
        <v>120213988</v>
      </c>
      <c r="F101" s="20" t="s">
        <v>436</v>
      </c>
      <c r="G101" s="59" t="s">
        <v>118</v>
      </c>
      <c r="H101" s="58" t="s">
        <v>712</v>
      </c>
      <c r="I101" s="78" t="s">
        <v>1137</v>
      </c>
      <c r="J101" s="78" t="s">
        <v>1137</v>
      </c>
      <c r="K101" s="20">
        <v>1</v>
      </c>
      <c r="L101" s="20">
        <v>1</v>
      </c>
      <c r="M101" s="20" t="s">
        <v>1095</v>
      </c>
      <c r="N101" s="59" t="s">
        <v>720</v>
      </c>
      <c r="O101" s="20" t="s">
        <v>14</v>
      </c>
      <c r="P101" s="20"/>
      <c r="Q101" s="20" t="s">
        <v>21</v>
      </c>
      <c r="R101" s="20" t="s">
        <v>38</v>
      </c>
      <c r="S101" s="20"/>
      <c r="T101" s="20" t="s">
        <v>393</v>
      </c>
      <c r="U101" s="20" t="s">
        <v>355</v>
      </c>
      <c r="V101" s="20" t="s">
        <v>721</v>
      </c>
      <c r="W101" s="58"/>
      <c r="X101" s="58" t="s">
        <v>1136</v>
      </c>
      <c r="Y101" s="20" t="s">
        <v>717</v>
      </c>
      <c r="Z101" s="71">
        <v>0</v>
      </c>
      <c r="AA101" s="71">
        <v>103382</v>
      </c>
      <c r="AB101" s="71">
        <v>103382</v>
      </c>
      <c r="AC101" s="71">
        <v>99052</v>
      </c>
      <c r="AD101" s="105">
        <f>$AC101*$K101</f>
        <v>99052</v>
      </c>
      <c r="AE101" s="118"/>
    </row>
    <row r="102" spans="1:31" s="57" customFormat="1" x14ac:dyDescent="0.2">
      <c r="B102" s="12">
        <v>100</v>
      </c>
      <c r="C102" s="20">
        <v>4</v>
      </c>
      <c r="D102" s="20" t="s">
        <v>1171</v>
      </c>
      <c r="E102" s="20" t="s">
        <v>1171</v>
      </c>
      <c r="F102" s="20" t="s">
        <v>436</v>
      </c>
      <c r="G102" s="59" t="s">
        <v>118</v>
      </c>
      <c r="H102" s="58" t="s">
        <v>759</v>
      </c>
      <c r="I102" s="78" t="s">
        <v>1170</v>
      </c>
      <c r="J102" s="78" t="s">
        <v>1193</v>
      </c>
      <c r="K102" s="20">
        <v>1</v>
      </c>
      <c r="L102" s="20">
        <v>1</v>
      </c>
      <c r="M102" s="20" t="s">
        <v>1095</v>
      </c>
      <c r="N102" s="59" t="s">
        <v>1137</v>
      </c>
      <c r="O102" s="20"/>
      <c r="P102" s="20"/>
      <c r="Q102" s="20"/>
      <c r="R102" s="20"/>
      <c r="S102" s="20"/>
      <c r="T102" s="20"/>
      <c r="U102" s="20"/>
      <c r="V102" s="20"/>
      <c r="W102" s="58" t="s">
        <v>1266</v>
      </c>
      <c r="X102" s="58"/>
      <c r="Y102" s="20" t="s">
        <v>717</v>
      </c>
      <c r="Z102" s="71"/>
      <c r="AA102" s="71"/>
      <c r="AB102" s="71"/>
      <c r="AC102" s="71">
        <v>98330</v>
      </c>
      <c r="AD102" s="105"/>
      <c r="AE102" s="118"/>
    </row>
    <row r="103" spans="1:31" s="57" customFormat="1" x14ac:dyDescent="0.2">
      <c r="B103" s="12">
        <v>101</v>
      </c>
      <c r="C103" s="20">
        <v>4</v>
      </c>
      <c r="D103" s="20" t="s">
        <v>1172</v>
      </c>
      <c r="E103" s="20" t="s">
        <v>1187</v>
      </c>
      <c r="F103" s="20" t="s">
        <v>436</v>
      </c>
      <c r="G103" s="59" t="s">
        <v>118</v>
      </c>
      <c r="H103" s="58" t="s">
        <v>1164</v>
      </c>
      <c r="I103" s="78" t="s">
        <v>1169</v>
      </c>
      <c r="J103" s="78" t="s">
        <v>1193</v>
      </c>
      <c r="K103" s="20">
        <v>1</v>
      </c>
      <c r="L103" s="20">
        <v>1</v>
      </c>
      <c r="M103" s="20" t="s">
        <v>1189</v>
      </c>
      <c r="N103" s="59" t="s">
        <v>1137</v>
      </c>
      <c r="O103" s="20"/>
      <c r="P103" s="20"/>
      <c r="Q103" s="20"/>
      <c r="R103" s="20"/>
      <c r="S103" s="20"/>
      <c r="T103" s="20"/>
      <c r="U103" s="20"/>
      <c r="V103" s="18" t="s">
        <v>721</v>
      </c>
      <c r="W103" s="58" t="s">
        <v>1168</v>
      </c>
      <c r="X103" s="58"/>
      <c r="Y103" s="20" t="s">
        <v>717</v>
      </c>
      <c r="Z103" s="71"/>
      <c r="AA103" s="71"/>
      <c r="AB103" s="71"/>
      <c r="AC103" s="71">
        <v>26</v>
      </c>
      <c r="AD103" s="105"/>
      <c r="AE103" s="118"/>
    </row>
    <row r="104" spans="1:31" s="57" customFormat="1" x14ac:dyDescent="0.2">
      <c r="B104" s="49">
        <v>102</v>
      </c>
      <c r="C104" s="50">
        <v>4</v>
      </c>
      <c r="D104" s="50">
        <v>330000145</v>
      </c>
      <c r="E104" s="50" t="str">
        <f t="shared" si="9"/>
        <v>330000145</v>
      </c>
      <c r="F104" s="50" t="s">
        <v>410</v>
      </c>
      <c r="G104" s="52" t="s">
        <v>119</v>
      </c>
      <c r="H104" s="51" t="s">
        <v>759</v>
      </c>
      <c r="I104" s="79" t="s">
        <v>1165</v>
      </c>
      <c r="J104" s="79" t="s">
        <v>1193</v>
      </c>
      <c r="K104" s="50">
        <v>1</v>
      </c>
      <c r="L104" s="50">
        <v>1</v>
      </c>
      <c r="M104" s="50" t="s">
        <v>1074</v>
      </c>
      <c r="N104" s="52" t="s">
        <v>712</v>
      </c>
      <c r="O104" s="50" t="s">
        <v>14</v>
      </c>
      <c r="P104" s="50"/>
      <c r="Q104" s="50" t="s">
        <v>21</v>
      </c>
      <c r="R104" s="50" t="s">
        <v>15</v>
      </c>
      <c r="S104" s="50"/>
      <c r="T104" s="50" t="s">
        <v>397</v>
      </c>
      <c r="U104" s="50" t="s">
        <v>383</v>
      </c>
      <c r="V104" s="50" t="s">
        <v>793</v>
      </c>
      <c r="W104" s="52" t="s">
        <v>1266</v>
      </c>
      <c r="X104" s="52" t="s">
        <v>712</v>
      </c>
      <c r="Y104" s="50" t="s">
        <v>717</v>
      </c>
      <c r="Z104" s="72">
        <v>0</v>
      </c>
      <c r="AA104" s="72">
        <v>0</v>
      </c>
      <c r="AB104" s="72">
        <v>0</v>
      </c>
      <c r="AC104" s="72">
        <v>0</v>
      </c>
      <c r="AD104" s="109">
        <v>0</v>
      </c>
      <c r="AE104" s="118"/>
    </row>
    <row r="105" spans="1:31" s="57" customFormat="1" ht="40.5" x14ac:dyDescent="0.2">
      <c r="B105" s="19">
        <v>103</v>
      </c>
      <c r="C105" s="18">
        <v>4</v>
      </c>
      <c r="D105" s="18">
        <v>500000396</v>
      </c>
      <c r="E105" s="18" t="str">
        <f t="shared" si="9"/>
        <v>500000396</v>
      </c>
      <c r="F105" s="18" t="s">
        <v>506</v>
      </c>
      <c r="G105" s="55" t="s">
        <v>509</v>
      </c>
      <c r="H105" s="55" t="s">
        <v>712</v>
      </c>
      <c r="I105" s="76" t="s">
        <v>1137</v>
      </c>
      <c r="J105" s="76" t="s">
        <v>1137</v>
      </c>
      <c r="K105" s="18">
        <v>2</v>
      </c>
      <c r="L105" s="18">
        <v>2</v>
      </c>
      <c r="M105" s="18" t="s">
        <v>1095</v>
      </c>
      <c r="N105" s="56" t="s">
        <v>1193</v>
      </c>
      <c r="O105" s="18"/>
      <c r="P105" s="18"/>
      <c r="Q105" s="18" t="s">
        <v>18</v>
      </c>
      <c r="R105" s="18" t="s">
        <v>15</v>
      </c>
      <c r="S105" s="18"/>
      <c r="T105" s="18"/>
      <c r="U105" s="18"/>
      <c r="V105" s="18"/>
      <c r="W105" s="56"/>
      <c r="X105" s="56"/>
      <c r="Y105" s="18"/>
      <c r="Z105" s="73"/>
      <c r="AA105" s="73"/>
      <c r="AB105" s="73"/>
      <c r="AC105" s="73"/>
      <c r="AD105" s="110"/>
      <c r="AE105" s="118"/>
    </row>
    <row r="106" spans="1:31" s="57" customFormat="1" x14ac:dyDescent="0.2">
      <c r="B106" s="12">
        <v>104</v>
      </c>
      <c r="C106" s="20">
        <v>3</v>
      </c>
      <c r="D106" s="20">
        <v>170168748</v>
      </c>
      <c r="E106" s="20" t="str">
        <f t="shared" si="9"/>
        <v>170168748</v>
      </c>
      <c r="F106" s="20" t="s">
        <v>439</v>
      </c>
      <c r="G106" s="59" t="s">
        <v>126</v>
      </c>
      <c r="H106" s="58" t="s">
        <v>734</v>
      </c>
      <c r="I106" s="78" t="s">
        <v>1137</v>
      </c>
      <c r="J106" s="78" t="s">
        <v>1193</v>
      </c>
      <c r="K106" s="20">
        <v>1</v>
      </c>
      <c r="L106" s="20">
        <v>1</v>
      </c>
      <c r="M106" s="20" t="s">
        <v>1095</v>
      </c>
      <c r="N106" s="59" t="s">
        <v>733</v>
      </c>
      <c r="O106" s="20" t="s">
        <v>127</v>
      </c>
      <c r="P106" s="20"/>
      <c r="Q106" s="20" t="s">
        <v>21</v>
      </c>
      <c r="R106" s="20" t="s">
        <v>38</v>
      </c>
      <c r="S106" s="20"/>
      <c r="T106" s="20" t="s">
        <v>346</v>
      </c>
      <c r="U106" s="20" t="s">
        <v>396</v>
      </c>
      <c r="V106" s="20" t="s">
        <v>792</v>
      </c>
      <c r="W106" s="20" t="s">
        <v>734</v>
      </c>
      <c r="X106" s="59" t="s">
        <v>797</v>
      </c>
      <c r="Y106" s="20" t="s">
        <v>717</v>
      </c>
      <c r="Z106" s="71">
        <v>190138.5</v>
      </c>
      <c r="AA106" s="71">
        <v>211500</v>
      </c>
      <c r="AB106" s="71">
        <v>211500</v>
      </c>
      <c r="AC106" s="71">
        <v>211500</v>
      </c>
      <c r="AD106" s="105">
        <f>$AC106*$K106</f>
        <v>211500</v>
      </c>
      <c r="AE106" s="121">
        <v>45873</v>
      </c>
    </row>
    <row r="107" spans="1:31" s="57" customFormat="1" x14ac:dyDescent="0.2">
      <c r="B107" s="12">
        <v>105</v>
      </c>
      <c r="C107" s="20">
        <v>3</v>
      </c>
      <c r="D107" s="20">
        <v>170168749</v>
      </c>
      <c r="E107" s="20" t="str">
        <f t="shared" si="9"/>
        <v>170168749</v>
      </c>
      <c r="F107" s="20" t="s">
        <v>431</v>
      </c>
      <c r="G107" s="59" t="s">
        <v>128</v>
      </c>
      <c r="H107" s="58" t="s">
        <v>734</v>
      </c>
      <c r="I107" s="78" t="s">
        <v>1137</v>
      </c>
      <c r="J107" s="78" t="s">
        <v>1193</v>
      </c>
      <c r="K107" s="20">
        <v>1</v>
      </c>
      <c r="L107" s="20">
        <v>1</v>
      </c>
      <c r="M107" s="20" t="s">
        <v>1095</v>
      </c>
      <c r="N107" s="59" t="s">
        <v>733</v>
      </c>
      <c r="O107" s="20" t="s">
        <v>68</v>
      </c>
      <c r="P107" s="20"/>
      <c r="Q107" s="20" t="s">
        <v>21</v>
      </c>
      <c r="R107" s="20" t="s">
        <v>15</v>
      </c>
      <c r="S107" s="20"/>
      <c r="T107" s="20" t="s">
        <v>346</v>
      </c>
      <c r="U107" s="20" t="s">
        <v>396</v>
      </c>
      <c r="V107" s="20" t="s">
        <v>792</v>
      </c>
      <c r="W107" s="20" t="s">
        <v>734</v>
      </c>
      <c r="X107" s="59" t="s">
        <v>797</v>
      </c>
      <c r="Y107" s="20" t="s">
        <v>717</v>
      </c>
      <c r="Z107" s="71">
        <v>0</v>
      </c>
      <c r="AA107" s="71">
        <v>189000</v>
      </c>
      <c r="AB107" s="71">
        <v>189000</v>
      </c>
      <c r="AC107" s="71">
        <v>189000</v>
      </c>
      <c r="AD107" s="105">
        <f>$AC107*$K107</f>
        <v>189000</v>
      </c>
      <c r="AE107" s="121">
        <v>45873</v>
      </c>
    </row>
    <row r="108" spans="1:31" s="57" customFormat="1" x14ac:dyDescent="0.2">
      <c r="B108" s="19">
        <v>106</v>
      </c>
      <c r="C108" s="18">
        <v>3</v>
      </c>
      <c r="D108" s="18">
        <v>300000852</v>
      </c>
      <c r="E108" s="18" t="str">
        <f t="shared" si="9"/>
        <v>300000852</v>
      </c>
      <c r="F108" s="18" t="s">
        <v>440</v>
      </c>
      <c r="G108" s="56" t="s">
        <v>129</v>
      </c>
      <c r="H108" s="55" t="s">
        <v>747</v>
      </c>
      <c r="I108" s="76" t="s">
        <v>1132</v>
      </c>
      <c r="J108" s="76" t="s">
        <v>1193</v>
      </c>
      <c r="K108" s="18">
        <v>1</v>
      </c>
      <c r="L108" s="18">
        <v>1</v>
      </c>
      <c r="M108" s="18" t="s">
        <v>1095</v>
      </c>
      <c r="N108" s="56" t="s">
        <v>718</v>
      </c>
      <c r="O108" s="18" t="s">
        <v>70</v>
      </c>
      <c r="P108" s="18"/>
      <c r="Q108" s="18" t="s">
        <v>21</v>
      </c>
      <c r="R108" s="18" t="s">
        <v>38</v>
      </c>
      <c r="S108" s="18"/>
      <c r="T108" s="18" t="s">
        <v>346</v>
      </c>
      <c r="U108" s="18" t="s">
        <v>346</v>
      </c>
      <c r="V108" s="18" t="s">
        <v>1240</v>
      </c>
      <c r="W108" s="56" t="s">
        <v>805</v>
      </c>
      <c r="X108" s="56" t="s">
        <v>845</v>
      </c>
      <c r="Y108" s="18" t="s">
        <v>843</v>
      </c>
      <c r="Z108" s="73">
        <v>0</v>
      </c>
      <c r="AA108" s="73">
        <v>726000</v>
      </c>
      <c r="AB108" s="73">
        <v>726000</v>
      </c>
      <c r="AC108" s="73">
        <v>301.18</v>
      </c>
      <c r="AD108" s="110">
        <f>($Y$1*$AC108)*$K108</f>
        <v>408400.08</v>
      </c>
      <c r="AE108" s="118"/>
    </row>
    <row r="109" spans="1:31" s="57" customFormat="1" x14ac:dyDescent="0.2">
      <c r="B109" s="12">
        <v>107</v>
      </c>
      <c r="C109" s="20">
        <v>3</v>
      </c>
      <c r="D109" s="20">
        <v>320000377</v>
      </c>
      <c r="E109" s="20" t="str">
        <f t="shared" si="9"/>
        <v>320000377</v>
      </c>
      <c r="F109" s="20" t="s">
        <v>441</v>
      </c>
      <c r="G109" s="59" t="s">
        <v>131</v>
      </c>
      <c r="H109" s="58" t="s">
        <v>766</v>
      </c>
      <c r="I109" s="78" t="s">
        <v>1218</v>
      </c>
      <c r="J109" s="78" t="s">
        <v>1193</v>
      </c>
      <c r="K109" s="20">
        <v>1</v>
      </c>
      <c r="L109" s="20">
        <v>1</v>
      </c>
      <c r="M109" s="20" t="s">
        <v>1095</v>
      </c>
      <c r="N109" s="59" t="s">
        <v>718</v>
      </c>
      <c r="O109" s="20" t="s">
        <v>83</v>
      </c>
      <c r="P109" s="20"/>
      <c r="Q109" s="20" t="s">
        <v>21</v>
      </c>
      <c r="R109" s="20" t="s">
        <v>15</v>
      </c>
      <c r="S109" s="20"/>
      <c r="T109" s="20" t="s">
        <v>346</v>
      </c>
      <c r="U109" s="20" t="s">
        <v>346</v>
      </c>
      <c r="V109" s="20" t="s">
        <v>1238</v>
      </c>
      <c r="W109" s="59" t="s">
        <v>805</v>
      </c>
      <c r="X109" s="59" t="s">
        <v>839</v>
      </c>
      <c r="Y109" s="20" t="s">
        <v>843</v>
      </c>
      <c r="Z109" s="71">
        <v>0</v>
      </c>
      <c r="AA109" s="71">
        <v>400000</v>
      </c>
      <c r="AB109" s="71">
        <v>400000</v>
      </c>
      <c r="AC109" s="71">
        <v>168.25</v>
      </c>
      <c r="AD109" s="105">
        <f>($Y$1*$AC109)*$K109</f>
        <v>228147</v>
      </c>
      <c r="AE109" s="118"/>
    </row>
    <row r="110" spans="1:31" s="57" customFormat="1" x14ac:dyDescent="0.2">
      <c r="B110" s="19">
        <v>108</v>
      </c>
      <c r="C110" s="18">
        <v>3</v>
      </c>
      <c r="D110" s="18">
        <v>340001871</v>
      </c>
      <c r="E110" s="18" t="str">
        <f t="shared" si="9"/>
        <v>340001871</v>
      </c>
      <c r="F110" s="18" t="s">
        <v>442</v>
      </c>
      <c r="G110" s="56" t="s">
        <v>369</v>
      </c>
      <c r="H110" s="55" t="s">
        <v>747</v>
      </c>
      <c r="I110" s="76" t="s">
        <v>1133</v>
      </c>
      <c r="J110" s="76" t="s">
        <v>1193</v>
      </c>
      <c r="K110" s="18">
        <v>2</v>
      </c>
      <c r="L110" s="18">
        <v>2</v>
      </c>
      <c r="M110" s="18" t="s">
        <v>1095</v>
      </c>
      <c r="N110" s="56" t="s">
        <v>720</v>
      </c>
      <c r="O110" s="18" t="s">
        <v>76</v>
      </c>
      <c r="P110" s="18"/>
      <c r="Q110" s="18" t="s">
        <v>18</v>
      </c>
      <c r="R110" s="18" t="s">
        <v>38</v>
      </c>
      <c r="S110" s="18"/>
      <c r="T110" s="18" t="s">
        <v>346</v>
      </c>
      <c r="U110" s="18" t="s">
        <v>346</v>
      </c>
      <c r="V110" s="18" t="s">
        <v>1238</v>
      </c>
      <c r="W110" s="56" t="s">
        <v>805</v>
      </c>
      <c r="X110" s="56" t="s">
        <v>840</v>
      </c>
      <c r="Y110" s="18" t="s">
        <v>843</v>
      </c>
      <c r="Z110" s="73">
        <v>83998.5</v>
      </c>
      <c r="AA110" s="73">
        <v>132000</v>
      </c>
      <c r="AB110" s="73">
        <v>264000</v>
      </c>
      <c r="AC110" s="73">
        <v>56.15</v>
      </c>
      <c r="AD110" s="110">
        <f>($Y$1*$AC110)*$K110</f>
        <v>152278.79999999999</v>
      </c>
      <c r="AE110" s="118"/>
    </row>
    <row r="111" spans="1:31" s="57" customFormat="1" x14ac:dyDescent="0.2">
      <c r="A111" s="57" t="s">
        <v>1051</v>
      </c>
      <c r="B111" s="19">
        <v>109</v>
      </c>
      <c r="C111" s="18">
        <v>3</v>
      </c>
      <c r="D111" s="18">
        <v>340216341</v>
      </c>
      <c r="E111" s="18" t="str">
        <f t="shared" si="9"/>
        <v>340216341</v>
      </c>
      <c r="F111" s="18" t="s">
        <v>506</v>
      </c>
      <c r="G111" s="56" t="s">
        <v>369</v>
      </c>
      <c r="H111" s="55" t="s">
        <v>1229</v>
      </c>
      <c r="I111" s="76" t="s">
        <v>1031</v>
      </c>
      <c r="J111" s="76" t="s">
        <v>1193</v>
      </c>
      <c r="K111" s="18">
        <v>1</v>
      </c>
      <c r="L111" s="18">
        <v>1</v>
      </c>
      <c r="M111" s="18" t="s">
        <v>1095</v>
      </c>
      <c r="N111" s="56" t="s">
        <v>1028</v>
      </c>
      <c r="O111" s="18"/>
      <c r="P111" s="18"/>
      <c r="Q111" s="18"/>
      <c r="R111" s="18"/>
      <c r="S111" s="18"/>
      <c r="T111" s="18"/>
      <c r="U111" s="18"/>
      <c r="V111" s="18" t="s">
        <v>1030</v>
      </c>
      <c r="W111" s="56" t="s">
        <v>806</v>
      </c>
      <c r="X111" s="56"/>
      <c r="Y111" s="18" t="s">
        <v>1032</v>
      </c>
      <c r="Z111" s="73"/>
      <c r="AA111" s="73">
        <v>86894</v>
      </c>
      <c r="AB111" s="73">
        <f>AA111*K111</f>
        <v>86894</v>
      </c>
      <c r="AC111" s="73">
        <v>108144</v>
      </c>
      <c r="AD111" s="110">
        <f>$AC111*$K111</f>
        <v>108144</v>
      </c>
      <c r="AE111" s="118"/>
    </row>
    <row r="112" spans="1:31" s="57" customFormat="1" x14ac:dyDescent="0.2">
      <c r="B112" s="12">
        <v>110</v>
      </c>
      <c r="C112" s="20">
        <v>3</v>
      </c>
      <c r="D112" s="20">
        <v>350001184</v>
      </c>
      <c r="E112" s="20" t="str">
        <f t="shared" si="9"/>
        <v>350001184</v>
      </c>
      <c r="F112" s="20" t="s">
        <v>422</v>
      </c>
      <c r="G112" s="59" t="s">
        <v>108</v>
      </c>
      <c r="H112" s="58" t="s">
        <v>1228</v>
      </c>
      <c r="I112" s="78" t="s">
        <v>1220</v>
      </c>
      <c r="J112" s="78" t="s">
        <v>1193</v>
      </c>
      <c r="K112" s="20">
        <v>4</v>
      </c>
      <c r="L112" s="20">
        <v>4</v>
      </c>
      <c r="M112" s="20" t="s">
        <v>1095</v>
      </c>
      <c r="N112" s="59" t="s">
        <v>720</v>
      </c>
      <c r="O112" s="20" t="s">
        <v>93</v>
      </c>
      <c r="P112" s="20"/>
      <c r="Q112" s="20" t="s">
        <v>55</v>
      </c>
      <c r="R112" s="20" t="s">
        <v>15</v>
      </c>
      <c r="S112" s="20"/>
      <c r="T112" s="20" t="s">
        <v>346</v>
      </c>
      <c r="U112" s="20" t="s">
        <v>346</v>
      </c>
      <c r="V112" s="20" t="s">
        <v>836</v>
      </c>
      <c r="W112" s="59" t="s">
        <v>804</v>
      </c>
      <c r="X112" s="59" t="s">
        <v>751</v>
      </c>
      <c r="Y112" s="20" t="s">
        <v>717</v>
      </c>
      <c r="Z112" s="71">
        <v>0</v>
      </c>
      <c r="AA112" s="71">
        <v>2470</v>
      </c>
      <c r="AB112" s="71">
        <v>4940</v>
      </c>
      <c r="AC112" s="71">
        <v>2470</v>
      </c>
      <c r="AD112" s="105">
        <f>$AC112*$K112</f>
        <v>9880</v>
      </c>
      <c r="AE112" s="118"/>
    </row>
    <row r="113" spans="1:31" s="57" customFormat="1" x14ac:dyDescent="0.2">
      <c r="B113" s="12">
        <v>111</v>
      </c>
      <c r="C113" s="20">
        <v>3</v>
      </c>
      <c r="D113" s="20">
        <v>430000724</v>
      </c>
      <c r="E113" s="20" t="str">
        <f t="shared" si="9"/>
        <v>430000724</v>
      </c>
      <c r="F113" s="20" t="s">
        <v>432</v>
      </c>
      <c r="G113" s="59" t="s">
        <v>110</v>
      </c>
      <c r="H113" s="58" t="s">
        <v>747</v>
      </c>
      <c r="I113" s="78" t="s">
        <v>1126</v>
      </c>
      <c r="J113" s="78" t="s">
        <v>1193</v>
      </c>
      <c r="K113" s="20">
        <v>4</v>
      </c>
      <c r="L113" s="20">
        <v>4</v>
      </c>
      <c r="M113" s="20" t="s">
        <v>1095</v>
      </c>
      <c r="N113" s="59" t="s">
        <v>720</v>
      </c>
      <c r="O113" s="20" t="s">
        <v>14</v>
      </c>
      <c r="P113" s="20"/>
      <c r="Q113" s="20" t="s">
        <v>55</v>
      </c>
      <c r="R113" s="20" t="s">
        <v>15</v>
      </c>
      <c r="S113" s="20"/>
      <c r="T113" s="20" t="s">
        <v>346</v>
      </c>
      <c r="U113" s="20" t="s">
        <v>346</v>
      </c>
      <c r="V113" s="20" t="s">
        <v>1238</v>
      </c>
      <c r="W113" s="59" t="s">
        <v>805</v>
      </c>
      <c r="X113" s="59" t="s">
        <v>840</v>
      </c>
      <c r="Y113" s="20" t="s">
        <v>843</v>
      </c>
      <c r="Z113" s="71">
        <v>0</v>
      </c>
      <c r="AA113" s="71">
        <v>75000</v>
      </c>
      <c r="AB113" s="71">
        <v>150000</v>
      </c>
      <c r="AC113" s="71">
        <v>23.08</v>
      </c>
      <c r="AD113" s="105">
        <f>($Y$1*$AC113)*$K113</f>
        <v>125185.91999999998</v>
      </c>
      <c r="AE113" s="118"/>
    </row>
    <row r="114" spans="1:31" s="57" customFormat="1" x14ac:dyDescent="0.2">
      <c r="B114" s="12">
        <v>112</v>
      </c>
      <c r="C114" s="20">
        <v>3</v>
      </c>
      <c r="D114" s="20" t="s">
        <v>367</v>
      </c>
      <c r="E114" s="20" t="str">
        <f t="shared" si="9"/>
        <v>44S0093</v>
      </c>
      <c r="F114" s="20" t="s">
        <v>433</v>
      </c>
      <c r="G114" s="59" t="s">
        <v>112</v>
      </c>
      <c r="H114" s="58" t="s">
        <v>747</v>
      </c>
      <c r="I114" s="78" t="s">
        <v>1127</v>
      </c>
      <c r="J114" s="78" t="s">
        <v>1193</v>
      </c>
      <c r="K114" s="20">
        <v>8</v>
      </c>
      <c r="L114" s="20">
        <v>8</v>
      </c>
      <c r="M114" s="20" t="s">
        <v>1095</v>
      </c>
      <c r="N114" s="59" t="s">
        <v>718</v>
      </c>
      <c r="O114" s="20" t="s">
        <v>14</v>
      </c>
      <c r="P114" s="20"/>
      <c r="Q114" s="20" t="s">
        <v>132</v>
      </c>
      <c r="R114" s="20" t="s">
        <v>15</v>
      </c>
      <c r="S114" s="20"/>
      <c r="T114" s="20" t="s">
        <v>346</v>
      </c>
      <c r="U114" s="20" t="s">
        <v>346</v>
      </c>
      <c r="V114" s="20" t="s">
        <v>1238</v>
      </c>
      <c r="W114" s="59" t="s">
        <v>805</v>
      </c>
      <c r="X114" s="59" t="s">
        <v>840</v>
      </c>
      <c r="Y114" s="20" t="s">
        <v>843</v>
      </c>
      <c r="Z114" s="71">
        <v>0</v>
      </c>
      <c r="AA114" s="71">
        <v>400</v>
      </c>
      <c r="AB114" s="71">
        <v>400</v>
      </c>
      <c r="AC114" s="71">
        <v>9.4700000000000006</v>
      </c>
      <c r="AD114" s="105">
        <v>0</v>
      </c>
      <c r="AE114" s="118"/>
    </row>
    <row r="115" spans="1:31" s="57" customFormat="1" x14ac:dyDescent="0.2">
      <c r="B115" s="12">
        <v>113</v>
      </c>
      <c r="C115" s="20">
        <v>3</v>
      </c>
      <c r="D115" s="20">
        <v>9200106</v>
      </c>
      <c r="E115" s="20" t="str">
        <f t="shared" si="9"/>
        <v>9200106</v>
      </c>
      <c r="F115" s="20" t="s">
        <v>434</v>
      </c>
      <c r="G115" s="59" t="s">
        <v>114</v>
      </c>
      <c r="H115" s="58" t="s">
        <v>728</v>
      </c>
      <c r="I115" s="78" t="s">
        <v>824</v>
      </c>
      <c r="J115" s="78" t="s">
        <v>1193</v>
      </c>
      <c r="K115" s="20">
        <v>0</v>
      </c>
      <c r="L115" s="20">
        <v>0</v>
      </c>
      <c r="M115" s="20" t="s">
        <v>1076</v>
      </c>
      <c r="N115" s="59" t="s">
        <v>719</v>
      </c>
      <c r="O115" s="20" t="s">
        <v>133</v>
      </c>
      <c r="P115" s="20"/>
      <c r="Q115" s="20" t="s">
        <v>25</v>
      </c>
      <c r="R115" s="20" t="s">
        <v>15</v>
      </c>
      <c r="S115" s="20"/>
      <c r="T115" s="20" t="s">
        <v>346</v>
      </c>
      <c r="U115" s="20" t="s">
        <v>346</v>
      </c>
      <c r="V115" s="20" t="s">
        <v>738</v>
      </c>
      <c r="W115" s="59" t="s">
        <v>735</v>
      </c>
      <c r="X115" s="59" t="s">
        <v>842</v>
      </c>
      <c r="Y115" s="20" t="s">
        <v>717</v>
      </c>
      <c r="Z115" s="71">
        <v>0</v>
      </c>
      <c r="AA115" s="71">
        <v>28800</v>
      </c>
      <c r="AB115" s="71">
        <v>0</v>
      </c>
      <c r="AC115" s="71">
        <v>28800</v>
      </c>
      <c r="AD115" s="110">
        <v>0</v>
      </c>
      <c r="AE115" s="118" t="s">
        <v>1262</v>
      </c>
    </row>
    <row r="116" spans="1:31" s="57" customFormat="1" x14ac:dyDescent="0.2">
      <c r="B116" s="19">
        <v>114</v>
      </c>
      <c r="C116" s="18">
        <v>2</v>
      </c>
      <c r="D116" s="18">
        <v>110144610</v>
      </c>
      <c r="E116" s="18" t="str">
        <f t="shared" si="9"/>
        <v>110144610</v>
      </c>
      <c r="F116" s="27" t="s">
        <v>443</v>
      </c>
      <c r="G116" s="56" t="s">
        <v>135</v>
      </c>
      <c r="H116" s="55" t="s">
        <v>712</v>
      </c>
      <c r="I116" s="76" t="s">
        <v>397</v>
      </c>
      <c r="J116" s="76" t="s">
        <v>1193</v>
      </c>
      <c r="K116" s="18">
        <v>1</v>
      </c>
      <c r="L116" s="18">
        <v>1</v>
      </c>
      <c r="M116" s="18" t="s">
        <v>1095</v>
      </c>
      <c r="N116" s="56" t="s">
        <v>712</v>
      </c>
      <c r="O116" s="18" t="s">
        <v>14</v>
      </c>
      <c r="P116" s="18"/>
      <c r="Q116" s="18" t="s">
        <v>21</v>
      </c>
      <c r="R116" s="18" t="s">
        <v>38</v>
      </c>
      <c r="S116" s="18"/>
      <c r="T116" s="18" t="s">
        <v>354</v>
      </c>
      <c r="U116" s="18" t="s">
        <v>354</v>
      </c>
      <c r="V116" s="18" t="s">
        <v>1260</v>
      </c>
      <c r="W116" s="56" t="s">
        <v>807</v>
      </c>
      <c r="X116" s="56" t="s">
        <v>712</v>
      </c>
      <c r="Y116" s="18" t="s">
        <v>717</v>
      </c>
      <c r="Z116" s="73">
        <v>0</v>
      </c>
      <c r="AA116" s="73">
        <v>0</v>
      </c>
      <c r="AB116" s="73">
        <v>0</v>
      </c>
      <c r="AC116" s="73">
        <v>0</v>
      </c>
      <c r="AD116" s="110">
        <v>0</v>
      </c>
      <c r="AE116" s="118"/>
    </row>
    <row r="117" spans="1:31" s="57" customFormat="1" x14ac:dyDescent="0.2">
      <c r="B117" s="12">
        <v>115</v>
      </c>
      <c r="C117" s="20">
        <v>3</v>
      </c>
      <c r="D117" s="20">
        <v>170168748</v>
      </c>
      <c r="E117" s="20" t="str">
        <f t="shared" si="9"/>
        <v>170168748</v>
      </c>
      <c r="F117" s="20" t="s">
        <v>439</v>
      </c>
      <c r="G117" s="59" t="s">
        <v>126</v>
      </c>
      <c r="H117" s="58" t="s">
        <v>734</v>
      </c>
      <c r="I117" s="78" t="s">
        <v>1137</v>
      </c>
      <c r="J117" s="78" t="s">
        <v>1193</v>
      </c>
      <c r="K117" s="20">
        <v>1</v>
      </c>
      <c r="L117" s="20">
        <v>1</v>
      </c>
      <c r="M117" s="20" t="s">
        <v>1095</v>
      </c>
      <c r="N117" s="59" t="s">
        <v>733</v>
      </c>
      <c r="O117" s="20" t="s">
        <v>127</v>
      </c>
      <c r="P117" s="20"/>
      <c r="Q117" s="20" t="s">
        <v>21</v>
      </c>
      <c r="R117" s="20" t="s">
        <v>38</v>
      </c>
      <c r="S117" s="20"/>
      <c r="T117" s="20" t="s">
        <v>346</v>
      </c>
      <c r="U117" s="20" t="s">
        <v>396</v>
      </c>
      <c r="V117" s="20" t="s">
        <v>792</v>
      </c>
      <c r="W117" s="20" t="s">
        <v>734</v>
      </c>
      <c r="X117" s="59" t="s">
        <v>797</v>
      </c>
      <c r="Y117" s="20" t="s">
        <v>717</v>
      </c>
      <c r="Z117" s="71">
        <v>190138.5</v>
      </c>
      <c r="AA117" s="71">
        <v>211500</v>
      </c>
      <c r="AB117" s="71">
        <v>211500</v>
      </c>
      <c r="AC117" s="71">
        <v>211500</v>
      </c>
      <c r="AD117" s="105">
        <f>$AC117*$K117</f>
        <v>211500</v>
      </c>
      <c r="AE117" s="121">
        <v>45873</v>
      </c>
    </row>
    <row r="118" spans="1:31" s="57" customFormat="1" x14ac:dyDescent="0.2">
      <c r="B118" s="12">
        <v>116</v>
      </c>
      <c r="C118" s="20">
        <v>3</v>
      </c>
      <c r="D118" s="20">
        <v>170168750</v>
      </c>
      <c r="E118" s="20" t="str">
        <f t="shared" si="9"/>
        <v>170168750</v>
      </c>
      <c r="F118" s="20" t="s">
        <v>422</v>
      </c>
      <c r="G118" s="59" t="s">
        <v>136</v>
      </c>
      <c r="H118" s="58" t="s">
        <v>734</v>
      </c>
      <c r="I118" s="78" t="s">
        <v>1137</v>
      </c>
      <c r="J118" s="78" t="s">
        <v>1193</v>
      </c>
      <c r="K118" s="20">
        <v>1</v>
      </c>
      <c r="L118" s="20">
        <v>1</v>
      </c>
      <c r="M118" s="20" t="s">
        <v>1094</v>
      </c>
      <c r="N118" s="59" t="s">
        <v>733</v>
      </c>
      <c r="O118" s="20" t="s">
        <v>68</v>
      </c>
      <c r="P118" s="20"/>
      <c r="Q118" s="20" t="s">
        <v>21</v>
      </c>
      <c r="R118" s="20" t="s">
        <v>15</v>
      </c>
      <c r="S118" s="20"/>
      <c r="T118" s="20" t="s">
        <v>346</v>
      </c>
      <c r="U118" s="20" t="s">
        <v>396</v>
      </c>
      <c r="V118" s="20" t="s">
        <v>792</v>
      </c>
      <c r="W118" s="20" t="s">
        <v>734</v>
      </c>
      <c r="X118" s="59" t="s">
        <v>797</v>
      </c>
      <c r="Y118" s="20" t="s">
        <v>717</v>
      </c>
      <c r="Z118" s="71">
        <v>0</v>
      </c>
      <c r="AA118" s="71">
        <v>121500</v>
      </c>
      <c r="AB118" s="71">
        <v>121500</v>
      </c>
      <c r="AC118" s="71">
        <v>121500</v>
      </c>
      <c r="AD118" s="105">
        <f>$AC118*$K118</f>
        <v>121500</v>
      </c>
      <c r="AE118" s="121">
        <v>45873</v>
      </c>
    </row>
    <row r="119" spans="1:31" s="57" customFormat="1" x14ac:dyDescent="0.2">
      <c r="B119" s="12">
        <v>117</v>
      </c>
      <c r="C119" s="20">
        <v>3</v>
      </c>
      <c r="D119" s="20">
        <v>300000852</v>
      </c>
      <c r="E119" s="20" t="str">
        <f t="shared" si="9"/>
        <v>300000852</v>
      </c>
      <c r="F119" s="20" t="s">
        <v>440</v>
      </c>
      <c r="G119" s="59" t="s">
        <v>129</v>
      </c>
      <c r="H119" s="58" t="s">
        <v>747</v>
      </c>
      <c r="I119" s="78" t="s">
        <v>1134</v>
      </c>
      <c r="J119" s="78" t="s">
        <v>1193</v>
      </c>
      <c r="K119" s="20">
        <v>1</v>
      </c>
      <c r="L119" s="20">
        <v>1</v>
      </c>
      <c r="M119" s="20" t="s">
        <v>1095</v>
      </c>
      <c r="N119" s="59" t="s">
        <v>718</v>
      </c>
      <c r="O119" s="20" t="s">
        <v>70</v>
      </c>
      <c r="P119" s="20"/>
      <c r="Q119" s="20" t="s">
        <v>21</v>
      </c>
      <c r="R119" s="20" t="s">
        <v>38</v>
      </c>
      <c r="S119" s="20"/>
      <c r="T119" s="20" t="s">
        <v>346</v>
      </c>
      <c r="U119" s="20" t="s">
        <v>346</v>
      </c>
      <c r="V119" s="20" t="s">
        <v>1240</v>
      </c>
      <c r="W119" s="59" t="s">
        <v>805</v>
      </c>
      <c r="X119" s="59" t="s">
        <v>845</v>
      </c>
      <c r="Y119" s="20" t="s">
        <v>843</v>
      </c>
      <c r="Z119" s="71">
        <v>0</v>
      </c>
      <c r="AA119" s="71">
        <v>726000</v>
      </c>
      <c r="AB119" s="71">
        <v>726000</v>
      </c>
      <c r="AC119" s="71">
        <v>301.18</v>
      </c>
      <c r="AD119" s="105">
        <f>($Y$1*$AC119)*$K119</f>
        <v>408400.08</v>
      </c>
      <c r="AE119" s="118"/>
    </row>
    <row r="120" spans="1:31" s="57" customFormat="1" x14ac:dyDescent="0.2">
      <c r="B120" s="12">
        <v>118</v>
      </c>
      <c r="C120" s="20">
        <v>3</v>
      </c>
      <c r="D120" s="20">
        <v>320000377</v>
      </c>
      <c r="E120" s="20" t="str">
        <f t="shared" si="9"/>
        <v>320000377</v>
      </c>
      <c r="F120" s="20" t="s">
        <v>441</v>
      </c>
      <c r="G120" s="59" t="s">
        <v>131</v>
      </c>
      <c r="H120" s="58" t="s">
        <v>747</v>
      </c>
      <c r="I120" s="86" t="s">
        <v>1219</v>
      </c>
      <c r="J120" s="86" t="s">
        <v>1193</v>
      </c>
      <c r="K120" s="20">
        <v>1</v>
      </c>
      <c r="L120" s="20">
        <v>1</v>
      </c>
      <c r="M120" s="20" t="s">
        <v>1095</v>
      </c>
      <c r="N120" s="59" t="s">
        <v>718</v>
      </c>
      <c r="O120" s="20" t="s">
        <v>83</v>
      </c>
      <c r="P120" s="20"/>
      <c r="Q120" s="20" t="s">
        <v>21</v>
      </c>
      <c r="R120" s="20" t="s">
        <v>15</v>
      </c>
      <c r="S120" s="20"/>
      <c r="T120" s="20" t="s">
        <v>353</v>
      </c>
      <c r="U120" s="20" t="s">
        <v>346</v>
      </c>
      <c r="V120" s="20" t="s">
        <v>1238</v>
      </c>
      <c r="W120" s="59" t="s">
        <v>805</v>
      </c>
      <c r="X120" s="59" t="s">
        <v>839</v>
      </c>
      <c r="Y120" s="20" t="s">
        <v>843</v>
      </c>
      <c r="Z120" s="71">
        <v>0</v>
      </c>
      <c r="AA120" s="71">
        <v>400000</v>
      </c>
      <c r="AB120" s="71">
        <v>400000</v>
      </c>
      <c r="AC120" s="71">
        <v>168.25</v>
      </c>
      <c r="AD120" s="105">
        <f>($Y$1*$AC120)*$K120</f>
        <v>228147</v>
      </c>
      <c r="AE120" s="118"/>
    </row>
    <row r="121" spans="1:31" s="57" customFormat="1" x14ac:dyDescent="0.2">
      <c r="B121" s="12">
        <v>119</v>
      </c>
      <c r="C121" s="20">
        <v>3</v>
      </c>
      <c r="D121" s="20">
        <v>340001871</v>
      </c>
      <c r="E121" s="20" t="str">
        <f t="shared" si="9"/>
        <v>340001871</v>
      </c>
      <c r="F121" s="20" t="s">
        <v>442</v>
      </c>
      <c r="G121" s="56" t="s">
        <v>369</v>
      </c>
      <c r="H121" s="55" t="s">
        <v>747</v>
      </c>
      <c r="I121" s="76" t="s">
        <v>1133</v>
      </c>
      <c r="J121" s="78" t="s">
        <v>1193</v>
      </c>
      <c r="K121" s="20">
        <v>2</v>
      </c>
      <c r="L121" s="20">
        <v>2</v>
      </c>
      <c r="M121" s="20" t="s">
        <v>1095</v>
      </c>
      <c r="N121" s="59" t="s">
        <v>720</v>
      </c>
      <c r="O121" s="20" t="s">
        <v>106</v>
      </c>
      <c r="P121" s="20"/>
      <c r="Q121" s="20" t="s">
        <v>18</v>
      </c>
      <c r="R121" s="20" t="s">
        <v>38</v>
      </c>
      <c r="S121" s="20"/>
      <c r="T121" s="20" t="s">
        <v>346</v>
      </c>
      <c r="U121" s="20" t="s">
        <v>346</v>
      </c>
      <c r="V121" s="20" t="s">
        <v>1240</v>
      </c>
      <c r="W121" s="59" t="s">
        <v>805</v>
      </c>
      <c r="X121" s="59" t="s">
        <v>840</v>
      </c>
      <c r="Y121" s="20" t="s">
        <v>843</v>
      </c>
      <c r="Z121" s="71">
        <v>83998.5</v>
      </c>
      <c r="AA121" s="71">
        <v>132000</v>
      </c>
      <c r="AB121" s="71">
        <v>264000</v>
      </c>
      <c r="AC121" s="71">
        <v>56.15</v>
      </c>
      <c r="AD121" s="105">
        <f>($Y$1*$AC121)*$K121</f>
        <v>152278.79999999999</v>
      </c>
      <c r="AE121" s="118"/>
    </row>
    <row r="122" spans="1:31" s="57" customFormat="1" x14ac:dyDescent="0.2">
      <c r="A122" s="57" t="s">
        <v>1051</v>
      </c>
      <c r="B122" s="19">
        <v>120</v>
      </c>
      <c r="C122" s="18">
        <v>3</v>
      </c>
      <c r="D122" s="18">
        <v>340216341</v>
      </c>
      <c r="E122" s="18" t="str">
        <f t="shared" si="9"/>
        <v>340216341</v>
      </c>
      <c r="F122" s="18" t="s">
        <v>506</v>
      </c>
      <c r="G122" s="56" t="s">
        <v>369</v>
      </c>
      <c r="H122" s="55" t="s">
        <v>1229</v>
      </c>
      <c r="I122" s="76" t="s">
        <v>1031</v>
      </c>
      <c r="J122" s="76" t="s">
        <v>1193</v>
      </c>
      <c r="K122" s="18">
        <v>1</v>
      </c>
      <c r="L122" s="18">
        <v>1</v>
      </c>
      <c r="M122" s="18" t="s">
        <v>1094</v>
      </c>
      <c r="N122" s="56" t="s">
        <v>1028</v>
      </c>
      <c r="O122" s="18"/>
      <c r="P122" s="18"/>
      <c r="Q122" s="18"/>
      <c r="R122" s="18"/>
      <c r="S122" s="18"/>
      <c r="T122" s="18"/>
      <c r="U122" s="18"/>
      <c r="V122" s="18" t="s">
        <v>1030</v>
      </c>
      <c r="W122" s="56" t="s">
        <v>806</v>
      </c>
      <c r="X122" s="56"/>
      <c r="Y122" s="18" t="s">
        <v>1032</v>
      </c>
      <c r="Z122" s="73"/>
      <c r="AA122" s="73">
        <v>86894</v>
      </c>
      <c r="AB122" s="73">
        <f>AA122*K122</f>
        <v>86894</v>
      </c>
      <c r="AC122" s="73">
        <v>108144</v>
      </c>
      <c r="AD122" s="110">
        <f>$AC122*$K122</f>
        <v>108144</v>
      </c>
      <c r="AE122" s="118"/>
    </row>
    <row r="123" spans="1:31" s="57" customFormat="1" x14ac:dyDescent="0.2">
      <c r="B123" s="12">
        <v>121</v>
      </c>
      <c r="C123" s="20">
        <v>3</v>
      </c>
      <c r="D123" s="20">
        <v>350001184</v>
      </c>
      <c r="E123" s="20" t="str">
        <f t="shared" si="9"/>
        <v>350001184</v>
      </c>
      <c r="F123" s="20" t="s">
        <v>422</v>
      </c>
      <c r="G123" s="59" t="s">
        <v>108</v>
      </c>
      <c r="H123" s="58" t="s">
        <v>1228</v>
      </c>
      <c r="I123" s="78" t="s">
        <v>1220</v>
      </c>
      <c r="J123" s="78" t="s">
        <v>1193</v>
      </c>
      <c r="K123" s="20">
        <v>4</v>
      </c>
      <c r="L123" s="20">
        <v>4</v>
      </c>
      <c r="M123" s="20" t="s">
        <v>1095</v>
      </c>
      <c r="N123" s="59" t="s">
        <v>720</v>
      </c>
      <c r="O123" s="20" t="s">
        <v>77</v>
      </c>
      <c r="P123" s="20"/>
      <c r="Q123" s="20" t="s">
        <v>55</v>
      </c>
      <c r="R123" s="20" t="s">
        <v>15</v>
      </c>
      <c r="S123" s="20"/>
      <c r="T123" s="20" t="s">
        <v>346</v>
      </c>
      <c r="U123" s="20" t="s">
        <v>346</v>
      </c>
      <c r="V123" s="20" t="s">
        <v>836</v>
      </c>
      <c r="W123" s="59" t="s">
        <v>804</v>
      </c>
      <c r="X123" s="59" t="s">
        <v>751</v>
      </c>
      <c r="Y123" s="20" t="s">
        <v>717</v>
      </c>
      <c r="Z123" s="71">
        <v>0</v>
      </c>
      <c r="AA123" s="71">
        <v>2470</v>
      </c>
      <c r="AB123" s="71">
        <v>4940</v>
      </c>
      <c r="AC123" s="71">
        <v>2470</v>
      </c>
      <c r="AD123" s="105">
        <f>$AC123*$K123</f>
        <v>9880</v>
      </c>
      <c r="AE123" s="118"/>
    </row>
    <row r="124" spans="1:31" s="57" customFormat="1" x14ac:dyDescent="0.2">
      <c r="B124" s="12">
        <v>122</v>
      </c>
      <c r="C124" s="20">
        <v>3</v>
      </c>
      <c r="D124" s="20">
        <v>430000724</v>
      </c>
      <c r="E124" s="20" t="str">
        <f t="shared" si="9"/>
        <v>430000724</v>
      </c>
      <c r="F124" s="20" t="s">
        <v>432</v>
      </c>
      <c r="G124" s="59" t="s">
        <v>110</v>
      </c>
      <c r="H124" s="58" t="s">
        <v>747</v>
      </c>
      <c r="I124" s="78" t="s">
        <v>1126</v>
      </c>
      <c r="J124" s="78" t="s">
        <v>1193</v>
      </c>
      <c r="K124" s="20">
        <v>4</v>
      </c>
      <c r="L124" s="20">
        <v>4</v>
      </c>
      <c r="M124" s="20" t="s">
        <v>1095</v>
      </c>
      <c r="N124" s="59" t="s">
        <v>720</v>
      </c>
      <c r="O124" s="20" t="s">
        <v>14</v>
      </c>
      <c r="P124" s="20"/>
      <c r="Q124" s="20" t="s">
        <v>55</v>
      </c>
      <c r="R124" s="20" t="s">
        <v>15</v>
      </c>
      <c r="S124" s="20"/>
      <c r="T124" s="20" t="s">
        <v>346</v>
      </c>
      <c r="U124" s="20" t="s">
        <v>346</v>
      </c>
      <c r="V124" s="20" t="s">
        <v>1238</v>
      </c>
      <c r="W124" s="59" t="s">
        <v>805</v>
      </c>
      <c r="X124" s="59" t="s">
        <v>840</v>
      </c>
      <c r="Y124" s="20" t="s">
        <v>843</v>
      </c>
      <c r="Z124" s="71">
        <v>0</v>
      </c>
      <c r="AA124" s="71">
        <v>75000</v>
      </c>
      <c r="AB124" s="71">
        <v>150000</v>
      </c>
      <c r="AC124" s="71">
        <v>23.08</v>
      </c>
      <c r="AD124" s="105">
        <f>($Y$1*$AC124)*$K124</f>
        <v>125185.91999999998</v>
      </c>
      <c r="AE124" s="118"/>
    </row>
    <row r="125" spans="1:31" s="57" customFormat="1" x14ac:dyDescent="0.2">
      <c r="B125" s="12">
        <v>123</v>
      </c>
      <c r="C125" s="20">
        <v>3</v>
      </c>
      <c r="D125" s="20" t="s">
        <v>367</v>
      </c>
      <c r="E125" s="20" t="str">
        <f t="shared" si="9"/>
        <v>44S0093</v>
      </c>
      <c r="F125" s="20" t="s">
        <v>433</v>
      </c>
      <c r="G125" s="59" t="s">
        <v>112</v>
      </c>
      <c r="H125" s="58" t="s">
        <v>747</v>
      </c>
      <c r="I125" s="78" t="s">
        <v>1128</v>
      </c>
      <c r="J125" s="78" t="s">
        <v>1193</v>
      </c>
      <c r="K125" s="20">
        <v>8</v>
      </c>
      <c r="L125" s="20">
        <v>8</v>
      </c>
      <c r="M125" s="20" t="s">
        <v>1095</v>
      </c>
      <c r="N125" s="59" t="s">
        <v>718</v>
      </c>
      <c r="O125" s="20" t="s">
        <v>14</v>
      </c>
      <c r="P125" s="20"/>
      <c r="Q125" s="20" t="s">
        <v>132</v>
      </c>
      <c r="R125" s="20" t="s">
        <v>15</v>
      </c>
      <c r="S125" s="20"/>
      <c r="T125" s="20" t="s">
        <v>346</v>
      </c>
      <c r="U125" s="20" t="s">
        <v>346</v>
      </c>
      <c r="V125" s="20" t="s">
        <v>1238</v>
      </c>
      <c r="W125" s="59" t="s">
        <v>805</v>
      </c>
      <c r="X125" s="59" t="s">
        <v>840</v>
      </c>
      <c r="Y125" s="20" t="s">
        <v>843</v>
      </c>
      <c r="Z125" s="71">
        <v>0</v>
      </c>
      <c r="AA125" s="71">
        <v>400</v>
      </c>
      <c r="AB125" s="71">
        <v>400</v>
      </c>
      <c r="AC125" s="71">
        <v>9.4700000000000006</v>
      </c>
      <c r="AD125" s="105">
        <v>0</v>
      </c>
      <c r="AE125" s="118"/>
    </row>
    <row r="126" spans="1:31" s="57" customFormat="1" x14ac:dyDescent="0.25">
      <c r="B126" s="19">
        <v>124</v>
      </c>
      <c r="C126" s="18">
        <v>3</v>
      </c>
      <c r="D126" s="46">
        <v>900000909</v>
      </c>
      <c r="E126" s="46" t="str">
        <f t="shared" si="9"/>
        <v>900000909</v>
      </c>
      <c r="F126" s="18" t="s">
        <v>506</v>
      </c>
      <c r="G126" s="56" t="s">
        <v>521</v>
      </c>
      <c r="H126" s="55" t="s">
        <v>712</v>
      </c>
      <c r="I126" s="76" t="s">
        <v>1137</v>
      </c>
      <c r="J126" s="76" t="s">
        <v>1137</v>
      </c>
      <c r="K126" s="18">
        <v>0</v>
      </c>
      <c r="L126" s="18">
        <v>0</v>
      </c>
      <c r="M126" s="18" t="s">
        <v>1096</v>
      </c>
      <c r="N126" s="56" t="s">
        <v>1137</v>
      </c>
      <c r="O126" s="18"/>
      <c r="P126" s="18"/>
      <c r="Q126" s="18" t="s">
        <v>517</v>
      </c>
      <c r="R126" s="18"/>
      <c r="S126" s="18"/>
      <c r="T126" s="18"/>
      <c r="U126" s="18"/>
      <c r="V126" s="18"/>
      <c r="W126" s="56"/>
      <c r="X126" s="56"/>
      <c r="Y126" s="18"/>
      <c r="Z126" s="73"/>
      <c r="AA126" s="73"/>
      <c r="AB126" s="73"/>
      <c r="AC126" s="73"/>
      <c r="AD126" s="110"/>
      <c r="AE126" s="118"/>
    </row>
    <row r="127" spans="1:31" s="57" customFormat="1" x14ac:dyDescent="0.2">
      <c r="B127" s="12">
        <v>125</v>
      </c>
      <c r="C127" s="20">
        <v>3</v>
      </c>
      <c r="D127" s="20">
        <v>9200106</v>
      </c>
      <c r="E127" s="20" t="str">
        <f t="shared" si="9"/>
        <v>9200106</v>
      </c>
      <c r="F127" s="20" t="s">
        <v>434</v>
      </c>
      <c r="G127" s="59" t="s">
        <v>114</v>
      </c>
      <c r="H127" s="58" t="s">
        <v>728</v>
      </c>
      <c r="I127" s="78" t="s">
        <v>824</v>
      </c>
      <c r="J127" s="78" t="s">
        <v>1193</v>
      </c>
      <c r="K127" s="20">
        <v>0</v>
      </c>
      <c r="L127" s="20">
        <v>0</v>
      </c>
      <c r="M127" s="20" t="s">
        <v>1077</v>
      </c>
      <c r="N127" s="59" t="s">
        <v>719</v>
      </c>
      <c r="O127" s="20" t="s">
        <v>90</v>
      </c>
      <c r="P127" s="20"/>
      <c r="Q127" s="20" t="s">
        <v>25</v>
      </c>
      <c r="R127" s="20" t="s">
        <v>15</v>
      </c>
      <c r="S127" s="20"/>
      <c r="T127" s="20" t="s">
        <v>346</v>
      </c>
      <c r="U127" s="20" t="s">
        <v>346</v>
      </c>
      <c r="V127" s="20" t="s">
        <v>738</v>
      </c>
      <c r="W127" s="59" t="s">
        <v>735</v>
      </c>
      <c r="X127" s="59" t="s">
        <v>842</v>
      </c>
      <c r="Y127" s="20" t="s">
        <v>717</v>
      </c>
      <c r="Z127" s="71">
        <v>0</v>
      </c>
      <c r="AA127" s="71">
        <v>28800</v>
      </c>
      <c r="AB127" s="71">
        <v>0</v>
      </c>
      <c r="AC127" s="71">
        <v>28800</v>
      </c>
      <c r="AD127" s="110">
        <v>0</v>
      </c>
      <c r="AE127" s="118" t="s">
        <v>1262</v>
      </c>
    </row>
    <row r="128" spans="1:31" s="57" customFormat="1" x14ac:dyDescent="0.2">
      <c r="B128" s="19">
        <v>126</v>
      </c>
      <c r="C128" s="18">
        <v>2</v>
      </c>
      <c r="D128" s="18">
        <v>110144620</v>
      </c>
      <c r="E128" s="18" t="str">
        <f t="shared" si="9"/>
        <v>110144620</v>
      </c>
      <c r="F128" s="27" t="s">
        <v>443</v>
      </c>
      <c r="G128" s="56" t="s">
        <v>137</v>
      </c>
      <c r="H128" s="55" t="s">
        <v>712</v>
      </c>
      <c r="I128" s="76" t="s">
        <v>397</v>
      </c>
      <c r="J128" s="76" t="s">
        <v>1193</v>
      </c>
      <c r="K128" s="18">
        <v>1</v>
      </c>
      <c r="L128" s="18">
        <v>1</v>
      </c>
      <c r="M128" s="18" t="s">
        <v>1095</v>
      </c>
      <c r="N128" s="56" t="s">
        <v>712</v>
      </c>
      <c r="O128" s="18" t="s">
        <v>14</v>
      </c>
      <c r="P128" s="18"/>
      <c r="Q128" s="18" t="s">
        <v>21</v>
      </c>
      <c r="R128" s="18" t="s">
        <v>38</v>
      </c>
      <c r="S128" s="18"/>
      <c r="T128" s="18" t="s">
        <v>354</v>
      </c>
      <c r="U128" s="18" t="s">
        <v>354</v>
      </c>
      <c r="V128" s="18" t="s">
        <v>1260</v>
      </c>
      <c r="W128" s="56" t="s">
        <v>807</v>
      </c>
      <c r="X128" s="56" t="s">
        <v>712</v>
      </c>
      <c r="Y128" s="18" t="s">
        <v>717</v>
      </c>
      <c r="Z128" s="73">
        <v>0</v>
      </c>
      <c r="AA128" s="73">
        <v>0</v>
      </c>
      <c r="AB128" s="73">
        <v>0</v>
      </c>
      <c r="AC128" s="73">
        <v>0</v>
      </c>
      <c r="AD128" s="110">
        <v>0</v>
      </c>
      <c r="AE128" s="118"/>
    </row>
    <row r="129" spans="1:31" s="57" customFormat="1" x14ac:dyDescent="0.2">
      <c r="B129" s="12">
        <v>127</v>
      </c>
      <c r="C129" s="20">
        <v>3</v>
      </c>
      <c r="D129" s="20">
        <v>170168746</v>
      </c>
      <c r="E129" s="20" t="str">
        <f t="shared" si="9"/>
        <v>170168746</v>
      </c>
      <c r="F129" s="20" t="s">
        <v>422</v>
      </c>
      <c r="G129" s="59" t="s">
        <v>138</v>
      </c>
      <c r="H129" s="58" t="s">
        <v>734</v>
      </c>
      <c r="I129" s="78" t="s">
        <v>1137</v>
      </c>
      <c r="J129" s="78" t="s">
        <v>1193</v>
      </c>
      <c r="K129" s="20">
        <v>1</v>
      </c>
      <c r="L129" s="20">
        <v>1</v>
      </c>
      <c r="M129" s="20" t="s">
        <v>1095</v>
      </c>
      <c r="N129" s="59" t="s">
        <v>733</v>
      </c>
      <c r="O129" s="20" t="s">
        <v>68</v>
      </c>
      <c r="P129" s="20"/>
      <c r="Q129" s="20" t="s">
        <v>21</v>
      </c>
      <c r="R129" s="20" t="s">
        <v>15</v>
      </c>
      <c r="S129" s="20"/>
      <c r="T129" s="20" t="s">
        <v>346</v>
      </c>
      <c r="U129" s="20" t="s">
        <v>396</v>
      </c>
      <c r="V129" s="20" t="s">
        <v>792</v>
      </c>
      <c r="W129" s="20" t="s">
        <v>734</v>
      </c>
      <c r="X129" s="59" t="s">
        <v>797</v>
      </c>
      <c r="Y129" s="20" t="s">
        <v>717</v>
      </c>
      <c r="Z129" s="71">
        <v>0</v>
      </c>
      <c r="AA129" s="71">
        <v>122400</v>
      </c>
      <c r="AB129" s="71">
        <v>122400</v>
      </c>
      <c r="AC129" s="71">
        <v>122400</v>
      </c>
      <c r="AD129" s="105">
        <f>$AC129*$K129</f>
        <v>122400</v>
      </c>
      <c r="AE129" s="121">
        <v>45873</v>
      </c>
    </row>
    <row r="130" spans="1:31" s="57" customFormat="1" x14ac:dyDescent="0.2">
      <c r="B130" s="12">
        <v>128</v>
      </c>
      <c r="C130" s="20">
        <v>3</v>
      </c>
      <c r="D130" s="20">
        <v>170168753</v>
      </c>
      <c r="E130" s="20" t="str">
        <f t="shared" si="9"/>
        <v>170168753</v>
      </c>
      <c r="F130" s="20" t="s">
        <v>412</v>
      </c>
      <c r="G130" s="59" t="s">
        <v>139</v>
      </c>
      <c r="H130" s="58" t="s">
        <v>734</v>
      </c>
      <c r="I130" s="78" t="s">
        <v>1137</v>
      </c>
      <c r="J130" s="78" t="s">
        <v>1193</v>
      </c>
      <c r="K130" s="20">
        <v>1</v>
      </c>
      <c r="L130" s="20">
        <v>1</v>
      </c>
      <c r="M130" s="20" t="s">
        <v>1095</v>
      </c>
      <c r="N130" s="59" t="s">
        <v>733</v>
      </c>
      <c r="O130" s="20" t="s">
        <v>14</v>
      </c>
      <c r="P130" s="20"/>
      <c r="Q130" s="20" t="s">
        <v>21</v>
      </c>
      <c r="R130" s="20" t="s">
        <v>15</v>
      </c>
      <c r="S130" s="20"/>
      <c r="T130" s="20" t="s">
        <v>346</v>
      </c>
      <c r="U130" s="20" t="s">
        <v>396</v>
      </c>
      <c r="V130" s="20" t="s">
        <v>792</v>
      </c>
      <c r="W130" s="20" t="s">
        <v>734</v>
      </c>
      <c r="X130" s="59" t="s">
        <v>797</v>
      </c>
      <c r="Y130" s="20" t="s">
        <v>717</v>
      </c>
      <c r="Z130" s="71">
        <v>218312</v>
      </c>
      <c r="AA130" s="71">
        <v>220500</v>
      </c>
      <c r="AB130" s="71">
        <v>220500</v>
      </c>
      <c r="AC130" s="71">
        <v>220500</v>
      </c>
      <c r="AD130" s="105">
        <f>$AC130*$K130</f>
        <v>220500</v>
      </c>
      <c r="AE130" s="121">
        <v>45873</v>
      </c>
    </row>
    <row r="131" spans="1:31" s="57" customFormat="1" x14ac:dyDescent="0.2">
      <c r="B131" s="12">
        <v>129</v>
      </c>
      <c r="C131" s="20">
        <v>3</v>
      </c>
      <c r="D131" s="20">
        <v>300000069</v>
      </c>
      <c r="E131" s="20" t="str">
        <f t="shared" si="9"/>
        <v>300000069</v>
      </c>
      <c r="F131" s="20" t="s">
        <v>442</v>
      </c>
      <c r="G131" s="59" t="s">
        <v>142</v>
      </c>
      <c r="H131" s="58" t="s">
        <v>771</v>
      </c>
      <c r="I131" s="78" t="s">
        <v>900</v>
      </c>
      <c r="J131" s="78" t="s">
        <v>1193</v>
      </c>
      <c r="K131" s="20">
        <v>1</v>
      </c>
      <c r="L131" s="20">
        <v>1</v>
      </c>
      <c r="M131" s="20" t="s">
        <v>1095</v>
      </c>
      <c r="N131" s="59" t="s">
        <v>718</v>
      </c>
      <c r="O131" s="20" t="s">
        <v>83</v>
      </c>
      <c r="P131" s="20"/>
      <c r="Q131" s="20" t="s">
        <v>21</v>
      </c>
      <c r="R131" s="20" t="s">
        <v>15</v>
      </c>
      <c r="S131" s="20"/>
      <c r="T131" s="20" t="s">
        <v>346</v>
      </c>
      <c r="U131" s="20" t="s">
        <v>346</v>
      </c>
      <c r="V131" s="20" t="s">
        <v>836</v>
      </c>
      <c r="W131" s="59" t="s">
        <v>808</v>
      </c>
      <c r="X131" s="59" t="s">
        <v>751</v>
      </c>
      <c r="Y131" s="20" t="s">
        <v>717</v>
      </c>
      <c r="Z131" s="71">
        <v>0</v>
      </c>
      <c r="AA131" s="71">
        <v>442000</v>
      </c>
      <c r="AB131" s="71">
        <v>442000</v>
      </c>
      <c r="AC131" s="71">
        <v>361000</v>
      </c>
      <c r="AD131" s="105">
        <f>$AC131*$K131</f>
        <v>361000</v>
      </c>
      <c r="AE131" s="118"/>
    </row>
    <row r="132" spans="1:31" s="57" customFormat="1" x14ac:dyDescent="0.2">
      <c r="B132" s="12">
        <v>130</v>
      </c>
      <c r="C132" s="20">
        <v>3</v>
      </c>
      <c r="D132" s="20">
        <v>320000363</v>
      </c>
      <c r="E132" s="20" t="str">
        <f t="shared" si="9"/>
        <v>320000363</v>
      </c>
      <c r="F132" s="20" t="s">
        <v>412</v>
      </c>
      <c r="G132" s="59" t="s">
        <v>103</v>
      </c>
      <c r="H132" s="58" t="s">
        <v>766</v>
      </c>
      <c r="I132" s="78" t="s">
        <v>820</v>
      </c>
      <c r="J132" s="78" t="s">
        <v>1193</v>
      </c>
      <c r="K132" s="20">
        <v>1</v>
      </c>
      <c r="L132" s="20">
        <v>1</v>
      </c>
      <c r="M132" s="20" t="s">
        <v>1095</v>
      </c>
      <c r="N132" s="59" t="s">
        <v>801</v>
      </c>
      <c r="O132" s="20" t="s">
        <v>106</v>
      </c>
      <c r="P132" s="20"/>
      <c r="Q132" s="20" t="s">
        <v>21</v>
      </c>
      <c r="R132" s="20" t="s">
        <v>15</v>
      </c>
      <c r="S132" s="20"/>
      <c r="T132" s="20" t="s">
        <v>346</v>
      </c>
      <c r="U132" s="20" t="s">
        <v>346</v>
      </c>
      <c r="V132" s="20" t="s">
        <v>1238</v>
      </c>
      <c r="W132" s="59" t="s">
        <v>805</v>
      </c>
      <c r="X132" s="59" t="s">
        <v>839</v>
      </c>
      <c r="Y132" s="20" t="s">
        <v>843</v>
      </c>
      <c r="Z132" s="71">
        <v>0</v>
      </c>
      <c r="AA132" s="71">
        <v>290000</v>
      </c>
      <c r="AB132" s="71">
        <v>290000</v>
      </c>
      <c r="AC132" s="71">
        <v>89.59</v>
      </c>
      <c r="AD132" s="105">
        <f>($Y$1*$AC132)*$K132</f>
        <v>121484.04000000001</v>
      </c>
      <c r="AE132" s="118"/>
    </row>
    <row r="133" spans="1:31" s="57" customFormat="1" x14ac:dyDescent="0.2">
      <c r="B133" s="12">
        <v>131</v>
      </c>
      <c r="C133" s="20">
        <v>3</v>
      </c>
      <c r="D133" s="20">
        <v>340001643</v>
      </c>
      <c r="E133" s="20" t="str">
        <f t="shared" si="9"/>
        <v>340001643</v>
      </c>
      <c r="F133" s="20" t="s">
        <v>410</v>
      </c>
      <c r="G133" s="59" t="s">
        <v>143</v>
      </c>
      <c r="H133" s="58" t="s">
        <v>1120</v>
      </c>
      <c r="I133" s="78" t="s">
        <v>1135</v>
      </c>
      <c r="J133" s="78" t="s">
        <v>1193</v>
      </c>
      <c r="K133" s="20">
        <v>1</v>
      </c>
      <c r="L133" s="20">
        <v>1</v>
      </c>
      <c r="M133" s="20" t="s">
        <v>1095</v>
      </c>
      <c r="N133" s="59" t="s">
        <v>718</v>
      </c>
      <c r="O133" s="20" t="s">
        <v>76</v>
      </c>
      <c r="P133" s="20"/>
      <c r="Q133" s="20" t="s">
        <v>21</v>
      </c>
      <c r="R133" s="20" t="s">
        <v>15</v>
      </c>
      <c r="S133" s="20"/>
      <c r="T133" s="20" t="s">
        <v>346</v>
      </c>
      <c r="U133" s="20" t="s">
        <v>346</v>
      </c>
      <c r="V133" s="20" t="s">
        <v>1258</v>
      </c>
      <c r="W133" s="20" t="s">
        <v>1256</v>
      </c>
      <c r="X133" s="59" t="s">
        <v>1040</v>
      </c>
      <c r="Y133" s="20" t="s">
        <v>717</v>
      </c>
      <c r="Z133" s="71">
        <v>0</v>
      </c>
      <c r="AA133" s="71">
        <v>47000</v>
      </c>
      <c r="AB133" s="71">
        <v>47000</v>
      </c>
      <c r="AC133" s="71">
        <v>47000</v>
      </c>
      <c r="AD133" s="110">
        <f>$AC133*$K133</f>
        <v>47000</v>
      </c>
      <c r="AE133" s="118"/>
    </row>
    <row r="134" spans="1:31" s="57" customFormat="1" x14ac:dyDescent="0.2">
      <c r="A134" s="57" t="s">
        <v>1051</v>
      </c>
      <c r="B134" s="19">
        <v>132</v>
      </c>
      <c r="C134" s="18">
        <v>3</v>
      </c>
      <c r="D134" s="18">
        <v>340001871</v>
      </c>
      <c r="E134" s="18" t="str">
        <f t="shared" si="9"/>
        <v>340001871</v>
      </c>
      <c r="F134" s="18" t="s">
        <v>442</v>
      </c>
      <c r="G134" s="56" t="s">
        <v>369</v>
      </c>
      <c r="H134" s="55" t="s">
        <v>747</v>
      </c>
      <c r="I134" s="76" t="s">
        <v>1133</v>
      </c>
      <c r="J134" s="76" t="s">
        <v>1193</v>
      </c>
      <c r="K134" s="18">
        <v>2</v>
      </c>
      <c r="L134" s="18">
        <v>2</v>
      </c>
      <c r="M134" s="18" t="s">
        <v>1095</v>
      </c>
      <c r="N134" s="56" t="s">
        <v>720</v>
      </c>
      <c r="O134" s="18" t="s">
        <v>76</v>
      </c>
      <c r="P134" s="18"/>
      <c r="Q134" s="18" t="s">
        <v>18</v>
      </c>
      <c r="R134" s="18" t="s">
        <v>38</v>
      </c>
      <c r="S134" s="18"/>
      <c r="T134" s="18" t="s">
        <v>346</v>
      </c>
      <c r="U134" s="18" t="s">
        <v>346</v>
      </c>
      <c r="V134" s="18" t="s">
        <v>1238</v>
      </c>
      <c r="W134" s="56" t="s">
        <v>805</v>
      </c>
      <c r="X134" s="56" t="s">
        <v>840</v>
      </c>
      <c r="Y134" s="18" t="s">
        <v>843</v>
      </c>
      <c r="Z134" s="73">
        <v>83998.5</v>
      </c>
      <c r="AA134" s="73">
        <v>132000</v>
      </c>
      <c r="AB134" s="73">
        <v>264000</v>
      </c>
      <c r="AC134" s="73">
        <v>56.15</v>
      </c>
      <c r="AD134" s="110">
        <f>($Y$1*$AC134)*$K134</f>
        <v>152278.79999999999</v>
      </c>
      <c r="AE134" s="118"/>
    </row>
    <row r="135" spans="1:31" s="57" customFormat="1" x14ac:dyDescent="0.2">
      <c r="B135" s="12">
        <v>133</v>
      </c>
      <c r="C135" s="20">
        <v>3</v>
      </c>
      <c r="D135" s="20">
        <v>340002212</v>
      </c>
      <c r="E135" s="20" t="str">
        <f t="shared" si="9"/>
        <v>340002212</v>
      </c>
      <c r="F135" s="20" t="s">
        <v>410</v>
      </c>
      <c r="G135" s="59" t="s">
        <v>104</v>
      </c>
      <c r="H135" s="58" t="s">
        <v>747</v>
      </c>
      <c r="I135" s="78" t="s">
        <v>821</v>
      </c>
      <c r="J135" s="78" t="s">
        <v>1193</v>
      </c>
      <c r="K135" s="20">
        <v>2</v>
      </c>
      <c r="L135" s="20">
        <v>2</v>
      </c>
      <c r="M135" s="20" t="s">
        <v>1095</v>
      </c>
      <c r="N135" s="59" t="s">
        <v>720</v>
      </c>
      <c r="O135" s="20" t="s">
        <v>77</v>
      </c>
      <c r="P135" s="20"/>
      <c r="Q135" s="20" t="s">
        <v>18</v>
      </c>
      <c r="R135" s="20" t="s">
        <v>15</v>
      </c>
      <c r="S135" s="20"/>
      <c r="T135" s="20" t="s">
        <v>346</v>
      </c>
      <c r="U135" s="20" t="s">
        <v>346</v>
      </c>
      <c r="V135" s="20" t="s">
        <v>1238</v>
      </c>
      <c r="W135" s="59" t="s">
        <v>805</v>
      </c>
      <c r="X135" s="59" t="s">
        <v>840</v>
      </c>
      <c r="Y135" s="20" t="s">
        <v>843</v>
      </c>
      <c r="Z135" s="71">
        <v>0</v>
      </c>
      <c r="AA135" s="71">
        <v>163000</v>
      </c>
      <c r="AB135" s="71">
        <v>326000</v>
      </c>
      <c r="AC135" s="71">
        <v>62.91</v>
      </c>
      <c r="AD135" s="105">
        <f>($Y$1*$AC135)*$K135</f>
        <v>170611.91999999998</v>
      </c>
      <c r="AE135" s="118"/>
    </row>
    <row r="136" spans="1:31" s="57" customFormat="1" x14ac:dyDescent="0.2">
      <c r="B136" s="12">
        <v>134</v>
      </c>
      <c r="C136" s="20">
        <v>3</v>
      </c>
      <c r="D136" s="20">
        <v>340218502</v>
      </c>
      <c r="E136" s="20">
        <v>340218502</v>
      </c>
      <c r="F136" s="20" t="s">
        <v>524</v>
      </c>
      <c r="G136" s="59" t="s">
        <v>525</v>
      </c>
      <c r="H136" s="58" t="s">
        <v>1120</v>
      </c>
      <c r="I136" s="78" t="s">
        <v>1036</v>
      </c>
      <c r="J136" s="78" t="s">
        <v>1193</v>
      </c>
      <c r="K136" s="20">
        <v>1</v>
      </c>
      <c r="L136" s="20">
        <v>1</v>
      </c>
      <c r="M136" s="20" t="s">
        <v>1095</v>
      </c>
      <c r="N136" s="59" t="s">
        <v>1137</v>
      </c>
      <c r="O136" s="20"/>
      <c r="P136" s="20"/>
      <c r="Q136" s="20"/>
      <c r="R136" s="20" t="s">
        <v>15</v>
      </c>
      <c r="S136" s="20"/>
      <c r="T136" s="20" t="s">
        <v>346</v>
      </c>
      <c r="U136" s="20" t="s">
        <v>346</v>
      </c>
      <c r="V136" s="20" t="s">
        <v>1259</v>
      </c>
      <c r="W136" s="20" t="s">
        <v>1256</v>
      </c>
      <c r="X136" s="59" t="s">
        <v>1040</v>
      </c>
      <c r="Y136" s="20" t="s">
        <v>717</v>
      </c>
      <c r="Z136" s="71">
        <v>0</v>
      </c>
      <c r="AA136" s="71">
        <v>6800</v>
      </c>
      <c r="AB136" s="71">
        <f>$K136*AA136</f>
        <v>6800</v>
      </c>
      <c r="AC136" s="71">
        <v>6800</v>
      </c>
      <c r="AD136" s="110">
        <f>$AC136*$K136</f>
        <v>6800</v>
      </c>
      <c r="AE136" s="118"/>
    </row>
    <row r="137" spans="1:31" s="57" customFormat="1" x14ac:dyDescent="0.2">
      <c r="B137" s="12">
        <v>135</v>
      </c>
      <c r="C137" s="20">
        <v>3</v>
      </c>
      <c r="D137" s="20">
        <v>3400775</v>
      </c>
      <c r="E137" s="20" t="str">
        <f t="shared" ref="E137:E152" si="11">TRIM(D137)</f>
        <v>3400775</v>
      </c>
      <c r="F137" s="20" t="s">
        <v>418</v>
      </c>
      <c r="G137" s="59" t="s">
        <v>145</v>
      </c>
      <c r="H137" s="58" t="s">
        <v>1120</v>
      </c>
      <c r="I137" s="78" t="s">
        <v>1138</v>
      </c>
      <c r="J137" s="78" t="s">
        <v>1193</v>
      </c>
      <c r="K137" s="20">
        <v>1</v>
      </c>
      <c r="L137" s="20">
        <v>1</v>
      </c>
      <c r="M137" s="20" t="s">
        <v>1095</v>
      </c>
      <c r="N137" s="59" t="s">
        <v>712</v>
      </c>
      <c r="O137" s="20" t="s">
        <v>96</v>
      </c>
      <c r="P137" s="20"/>
      <c r="Q137" s="20" t="s">
        <v>21</v>
      </c>
      <c r="R137" s="20" t="s">
        <v>15</v>
      </c>
      <c r="S137" s="20"/>
      <c r="T137" s="20" t="s">
        <v>346</v>
      </c>
      <c r="U137" s="20" t="s">
        <v>346</v>
      </c>
      <c r="V137" s="20" t="s">
        <v>1259</v>
      </c>
      <c r="W137" s="20" t="s">
        <v>1256</v>
      </c>
      <c r="X137" s="59" t="s">
        <v>1040</v>
      </c>
      <c r="Y137" s="20" t="s">
        <v>717</v>
      </c>
      <c r="Z137" s="71">
        <v>0</v>
      </c>
      <c r="AA137" s="71">
        <v>10300</v>
      </c>
      <c r="AB137" s="71">
        <v>10300</v>
      </c>
      <c r="AC137" s="71">
        <v>10300</v>
      </c>
      <c r="AD137" s="110">
        <f>$AC137*$K137</f>
        <v>10300</v>
      </c>
      <c r="AE137" s="118"/>
    </row>
    <row r="138" spans="1:31" s="57" customFormat="1" x14ac:dyDescent="0.2">
      <c r="B138" s="12">
        <v>136</v>
      </c>
      <c r="C138" s="20">
        <v>3</v>
      </c>
      <c r="D138" s="20">
        <v>3402049</v>
      </c>
      <c r="E138" s="20" t="str">
        <f t="shared" si="11"/>
        <v>3402049</v>
      </c>
      <c r="F138" s="20" t="s">
        <v>422</v>
      </c>
      <c r="G138" s="59" t="s">
        <v>105</v>
      </c>
      <c r="H138" s="58" t="s">
        <v>1124</v>
      </c>
      <c r="I138" s="78" t="s">
        <v>1130</v>
      </c>
      <c r="J138" s="78" t="s">
        <v>1193</v>
      </c>
      <c r="K138" s="20">
        <v>1</v>
      </c>
      <c r="L138" s="20">
        <v>1</v>
      </c>
      <c r="M138" s="20" t="s">
        <v>1095</v>
      </c>
      <c r="N138" s="59" t="s">
        <v>720</v>
      </c>
      <c r="O138" s="20" t="s">
        <v>72</v>
      </c>
      <c r="P138" s="20"/>
      <c r="Q138" s="20" t="s">
        <v>21</v>
      </c>
      <c r="R138" s="20" t="s">
        <v>15</v>
      </c>
      <c r="S138" s="20"/>
      <c r="T138" s="20" t="s">
        <v>346</v>
      </c>
      <c r="U138" s="20" t="s">
        <v>346</v>
      </c>
      <c r="V138" s="20" t="s">
        <v>1243</v>
      </c>
      <c r="W138" s="59" t="s">
        <v>806</v>
      </c>
      <c r="X138" s="59" t="s">
        <v>841</v>
      </c>
      <c r="Y138" s="20" t="s">
        <v>717</v>
      </c>
      <c r="Z138" s="71">
        <v>0</v>
      </c>
      <c r="AA138" s="71">
        <v>68969</v>
      </c>
      <c r="AB138" s="71">
        <f>AA138*K138</f>
        <v>68969</v>
      </c>
      <c r="AC138" s="71">
        <v>90219</v>
      </c>
      <c r="AD138" s="105">
        <f>$AC138*$K138</f>
        <v>90219</v>
      </c>
      <c r="AE138" s="118"/>
    </row>
    <row r="139" spans="1:31" s="57" customFormat="1" x14ac:dyDescent="0.2">
      <c r="B139" s="12">
        <v>137</v>
      </c>
      <c r="C139" s="20">
        <v>3</v>
      </c>
      <c r="D139" s="20">
        <v>3402419</v>
      </c>
      <c r="E139" s="20" t="str">
        <f t="shared" si="11"/>
        <v>3402419</v>
      </c>
      <c r="F139" s="20" t="s">
        <v>444</v>
      </c>
      <c r="G139" s="59" t="s">
        <v>147</v>
      </c>
      <c r="H139" s="58" t="s">
        <v>1120</v>
      </c>
      <c r="I139" s="78" t="s">
        <v>1139</v>
      </c>
      <c r="J139" s="78" t="s">
        <v>1193</v>
      </c>
      <c r="K139" s="20">
        <v>1</v>
      </c>
      <c r="L139" s="20">
        <v>1</v>
      </c>
      <c r="M139" s="20" t="s">
        <v>1095</v>
      </c>
      <c r="N139" s="59" t="s">
        <v>720</v>
      </c>
      <c r="O139" s="20" t="s">
        <v>90</v>
      </c>
      <c r="P139" s="20"/>
      <c r="Q139" s="20" t="s">
        <v>21</v>
      </c>
      <c r="R139" s="20" t="s">
        <v>15</v>
      </c>
      <c r="S139" s="20"/>
      <c r="T139" s="20" t="s">
        <v>346</v>
      </c>
      <c r="U139" s="20" t="s">
        <v>346</v>
      </c>
      <c r="V139" s="20" t="s">
        <v>1258</v>
      </c>
      <c r="W139" s="20" t="s">
        <v>1256</v>
      </c>
      <c r="X139" s="59" t="s">
        <v>1040</v>
      </c>
      <c r="Y139" s="20" t="s">
        <v>717</v>
      </c>
      <c r="Z139" s="71">
        <v>0</v>
      </c>
      <c r="AA139" s="71">
        <v>17500</v>
      </c>
      <c r="AB139" s="71">
        <v>17500</v>
      </c>
      <c r="AC139" s="71">
        <v>17500</v>
      </c>
      <c r="AD139" s="110">
        <f>$AC139*$K139</f>
        <v>17500</v>
      </c>
      <c r="AE139" s="118"/>
    </row>
    <row r="140" spans="1:31" s="57" customFormat="1" x14ac:dyDescent="0.2">
      <c r="B140" s="12">
        <v>138</v>
      </c>
      <c r="C140" s="20">
        <v>3</v>
      </c>
      <c r="D140" s="20">
        <v>350001184</v>
      </c>
      <c r="E140" s="20" t="str">
        <f t="shared" si="11"/>
        <v>350001184</v>
      </c>
      <c r="F140" s="20" t="s">
        <v>422</v>
      </c>
      <c r="G140" s="59" t="s">
        <v>108</v>
      </c>
      <c r="H140" s="58" t="s">
        <v>1228</v>
      </c>
      <c r="I140" s="78" t="s">
        <v>1220</v>
      </c>
      <c r="J140" s="78" t="s">
        <v>1193</v>
      </c>
      <c r="K140" s="20">
        <v>2</v>
      </c>
      <c r="L140" s="20">
        <v>2</v>
      </c>
      <c r="M140" s="20" t="s">
        <v>1095</v>
      </c>
      <c r="N140" s="59" t="s">
        <v>720</v>
      </c>
      <c r="O140" s="20" t="s">
        <v>133</v>
      </c>
      <c r="P140" s="20"/>
      <c r="Q140" s="20" t="s">
        <v>18</v>
      </c>
      <c r="R140" s="20" t="s">
        <v>15</v>
      </c>
      <c r="S140" s="20"/>
      <c r="T140" s="20" t="s">
        <v>346</v>
      </c>
      <c r="U140" s="20" t="s">
        <v>346</v>
      </c>
      <c r="V140" s="20" t="s">
        <v>836</v>
      </c>
      <c r="W140" s="59" t="s">
        <v>804</v>
      </c>
      <c r="X140" s="59" t="s">
        <v>751</v>
      </c>
      <c r="Y140" s="20" t="s">
        <v>717</v>
      </c>
      <c r="Z140" s="71">
        <v>0</v>
      </c>
      <c r="AA140" s="71">
        <v>2470</v>
      </c>
      <c r="AB140" s="71">
        <v>4940</v>
      </c>
      <c r="AC140" s="71">
        <v>2470</v>
      </c>
      <c r="AD140" s="105">
        <f>$AC140*$K140</f>
        <v>4940</v>
      </c>
      <c r="AE140" s="118"/>
    </row>
    <row r="141" spans="1:31" s="57" customFormat="1" x14ac:dyDescent="0.2">
      <c r="B141" s="12">
        <v>139</v>
      </c>
      <c r="C141" s="20">
        <v>3</v>
      </c>
      <c r="D141" s="20">
        <v>430000724</v>
      </c>
      <c r="E141" s="20" t="str">
        <f t="shared" si="11"/>
        <v>430000724</v>
      </c>
      <c r="F141" s="20" t="s">
        <v>432</v>
      </c>
      <c r="G141" s="59" t="s">
        <v>110</v>
      </c>
      <c r="H141" s="58" t="s">
        <v>747</v>
      </c>
      <c r="I141" s="78" t="s">
        <v>1126</v>
      </c>
      <c r="J141" s="78" t="s">
        <v>1193</v>
      </c>
      <c r="K141" s="20">
        <v>2</v>
      </c>
      <c r="L141" s="20">
        <v>2</v>
      </c>
      <c r="M141" s="20" t="s">
        <v>1095</v>
      </c>
      <c r="N141" s="59" t="s">
        <v>720</v>
      </c>
      <c r="O141" s="20" t="s">
        <v>14</v>
      </c>
      <c r="P141" s="20"/>
      <c r="Q141" s="20" t="s">
        <v>18</v>
      </c>
      <c r="R141" s="20" t="s">
        <v>15</v>
      </c>
      <c r="S141" s="20"/>
      <c r="T141" s="20" t="s">
        <v>346</v>
      </c>
      <c r="U141" s="20" t="s">
        <v>346</v>
      </c>
      <c r="V141" s="20" t="s">
        <v>1238</v>
      </c>
      <c r="W141" s="59" t="s">
        <v>805</v>
      </c>
      <c r="X141" s="59" t="s">
        <v>840</v>
      </c>
      <c r="Y141" s="20" t="s">
        <v>843</v>
      </c>
      <c r="Z141" s="71">
        <v>0</v>
      </c>
      <c r="AA141" s="71">
        <v>75000</v>
      </c>
      <c r="AB141" s="71">
        <v>150000</v>
      </c>
      <c r="AC141" s="71">
        <v>23.08</v>
      </c>
      <c r="AD141" s="105">
        <f>($Y$1*$AC141)*$K141</f>
        <v>62592.959999999992</v>
      </c>
      <c r="AE141" s="118"/>
    </row>
    <row r="142" spans="1:31" s="57" customFormat="1" x14ac:dyDescent="0.2">
      <c r="B142" s="12">
        <v>140</v>
      </c>
      <c r="C142" s="20">
        <v>3</v>
      </c>
      <c r="D142" s="20" t="s">
        <v>367</v>
      </c>
      <c r="E142" s="20" t="str">
        <f t="shared" si="11"/>
        <v>44S0093</v>
      </c>
      <c r="F142" s="20" t="s">
        <v>433</v>
      </c>
      <c r="G142" s="59" t="s">
        <v>112</v>
      </c>
      <c r="H142" s="58" t="s">
        <v>747</v>
      </c>
      <c r="I142" s="78" t="s">
        <v>1128</v>
      </c>
      <c r="J142" s="78" t="s">
        <v>1193</v>
      </c>
      <c r="K142" s="20">
        <v>4</v>
      </c>
      <c r="L142" s="20">
        <v>4</v>
      </c>
      <c r="M142" s="20" t="s">
        <v>1095</v>
      </c>
      <c r="N142" s="59" t="s">
        <v>718</v>
      </c>
      <c r="O142" s="20" t="s">
        <v>14</v>
      </c>
      <c r="P142" s="20"/>
      <c r="Q142" s="20" t="s">
        <v>55</v>
      </c>
      <c r="R142" s="20" t="s">
        <v>15</v>
      </c>
      <c r="S142" s="20"/>
      <c r="T142" s="20" t="s">
        <v>346</v>
      </c>
      <c r="U142" s="20" t="s">
        <v>346</v>
      </c>
      <c r="V142" s="20" t="s">
        <v>1238</v>
      </c>
      <c r="W142" s="59" t="s">
        <v>805</v>
      </c>
      <c r="X142" s="59" t="s">
        <v>840</v>
      </c>
      <c r="Y142" s="20" t="s">
        <v>843</v>
      </c>
      <c r="Z142" s="71">
        <v>0</v>
      </c>
      <c r="AA142" s="71">
        <v>400</v>
      </c>
      <c r="AB142" s="71">
        <v>400</v>
      </c>
      <c r="AC142" s="71">
        <v>9.4700000000000006</v>
      </c>
      <c r="AD142" s="105">
        <v>0</v>
      </c>
      <c r="AE142" s="118"/>
    </row>
    <row r="143" spans="1:31" s="57" customFormat="1" x14ac:dyDescent="0.25">
      <c r="B143" s="19">
        <v>141</v>
      </c>
      <c r="C143" s="18">
        <v>3</v>
      </c>
      <c r="D143" s="46">
        <v>900000909</v>
      </c>
      <c r="E143" s="46" t="str">
        <f t="shared" si="11"/>
        <v>900000909</v>
      </c>
      <c r="F143" s="18" t="s">
        <v>506</v>
      </c>
      <c r="G143" s="56" t="s">
        <v>521</v>
      </c>
      <c r="H143" s="55" t="s">
        <v>712</v>
      </c>
      <c r="I143" s="76" t="s">
        <v>1137</v>
      </c>
      <c r="J143" s="76" t="s">
        <v>1137</v>
      </c>
      <c r="K143" s="18">
        <v>0</v>
      </c>
      <c r="L143" s="18">
        <v>0</v>
      </c>
      <c r="M143" s="18" t="s">
        <v>1095</v>
      </c>
      <c r="N143" s="56" t="s">
        <v>397</v>
      </c>
      <c r="O143" s="18"/>
      <c r="P143" s="18"/>
      <c r="Q143" s="18" t="s">
        <v>517</v>
      </c>
      <c r="R143" s="18"/>
      <c r="S143" s="18"/>
      <c r="T143" s="18"/>
      <c r="U143" s="18"/>
      <c r="V143" s="18"/>
      <c r="W143" s="56"/>
      <c r="X143" s="56"/>
      <c r="Y143" s="18"/>
      <c r="Z143" s="73"/>
      <c r="AA143" s="73"/>
      <c r="AB143" s="73"/>
      <c r="AC143" s="73"/>
      <c r="AD143" s="110"/>
      <c r="AE143" s="118"/>
    </row>
    <row r="144" spans="1:31" s="57" customFormat="1" x14ac:dyDescent="0.2">
      <c r="B144" s="12">
        <v>142</v>
      </c>
      <c r="C144" s="20">
        <v>3</v>
      </c>
      <c r="D144" s="20">
        <v>9200106</v>
      </c>
      <c r="E144" s="20" t="str">
        <f t="shared" si="11"/>
        <v>9200106</v>
      </c>
      <c r="F144" s="20" t="s">
        <v>434</v>
      </c>
      <c r="G144" s="59" t="s">
        <v>114</v>
      </c>
      <c r="H144" s="58" t="s">
        <v>728</v>
      </c>
      <c r="I144" s="78" t="s">
        <v>824</v>
      </c>
      <c r="J144" s="78" t="s">
        <v>1193</v>
      </c>
      <c r="K144" s="20">
        <v>0</v>
      </c>
      <c r="L144" s="20">
        <v>0</v>
      </c>
      <c r="M144" s="20" t="s">
        <v>1079</v>
      </c>
      <c r="N144" s="59" t="s">
        <v>719</v>
      </c>
      <c r="O144" s="20" t="s">
        <v>88</v>
      </c>
      <c r="P144" s="20"/>
      <c r="Q144" s="20" t="s">
        <v>25</v>
      </c>
      <c r="R144" s="20" t="s">
        <v>15</v>
      </c>
      <c r="S144" s="20"/>
      <c r="T144" s="20" t="s">
        <v>346</v>
      </c>
      <c r="U144" s="20" t="s">
        <v>346</v>
      </c>
      <c r="V144" s="20" t="s">
        <v>738</v>
      </c>
      <c r="W144" s="59" t="s">
        <v>735</v>
      </c>
      <c r="X144" s="59" t="s">
        <v>842</v>
      </c>
      <c r="Y144" s="20" t="s">
        <v>717</v>
      </c>
      <c r="Z144" s="71">
        <v>0</v>
      </c>
      <c r="AA144" s="71">
        <v>28800</v>
      </c>
      <c r="AB144" s="71">
        <v>0</v>
      </c>
      <c r="AC144" s="71">
        <v>28800</v>
      </c>
      <c r="AD144" s="110">
        <v>0</v>
      </c>
      <c r="AE144" s="118" t="s">
        <v>1262</v>
      </c>
    </row>
    <row r="145" spans="1:31" s="57" customFormat="1" x14ac:dyDescent="0.2">
      <c r="B145" s="19">
        <v>143</v>
      </c>
      <c r="C145" s="18">
        <v>2</v>
      </c>
      <c r="D145" s="18">
        <v>110144630</v>
      </c>
      <c r="E145" s="18" t="str">
        <f t="shared" si="11"/>
        <v>110144630</v>
      </c>
      <c r="F145" s="27" t="s">
        <v>445</v>
      </c>
      <c r="G145" s="56" t="s">
        <v>148</v>
      </c>
      <c r="H145" s="55" t="s">
        <v>712</v>
      </c>
      <c r="I145" s="76" t="s">
        <v>397</v>
      </c>
      <c r="J145" s="76" t="s">
        <v>1193</v>
      </c>
      <c r="K145" s="18">
        <v>1</v>
      </c>
      <c r="L145" s="18">
        <v>1</v>
      </c>
      <c r="M145" s="18" t="s">
        <v>1095</v>
      </c>
      <c r="N145" s="56" t="s">
        <v>712</v>
      </c>
      <c r="O145" s="18" t="s">
        <v>14</v>
      </c>
      <c r="P145" s="18"/>
      <c r="Q145" s="18" t="s">
        <v>21</v>
      </c>
      <c r="R145" s="18" t="s">
        <v>38</v>
      </c>
      <c r="S145" s="18"/>
      <c r="T145" s="18" t="s">
        <v>354</v>
      </c>
      <c r="U145" s="18" t="s">
        <v>354</v>
      </c>
      <c r="V145" s="18" t="s">
        <v>1261</v>
      </c>
      <c r="W145" s="56" t="s">
        <v>807</v>
      </c>
      <c r="X145" s="56" t="s">
        <v>712</v>
      </c>
      <c r="Y145" s="18" t="s">
        <v>717</v>
      </c>
      <c r="Z145" s="73">
        <v>0</v>
      </c>
      <c r="AA145" s="73">
        <v>0</v>
      </c>
      <c r="AB145" s="73">
        <v>0</v>
      </c>
      <c r="AC145" s="73">
        <v>0</v>
      </c>
      <c r="AD145" s="110">
        <v>0</v>
      </c>
      <c r="AE145" s="118"/>
    </row>
    <row r="146" spans="1:31" s="57" customFormat="1" x14ac:dyDescent="0.2">
      <c r="B146" s="12">
        <v>144</v>
      </c>
      <c r="C146" s="20">
        <v>3</v>
      </c>
      <c r="D146" s="20">
        <v>170168744</v>
      </c>
      <c r="E146" s="20" t="str">
        <f t="shared" si="11"/>
        <v>170168744</v>
      </c>
      <c r="F146" s="20" t="s">
        <v>422</v>
      </c>
      <c r="G146" s="59" t="s">
        <v>149</v>
      </c>
      <c r="H146" s="58" t="s">
        <v>734</v>
      </c>
      <c r="I146" s="78" t="s">
        <v>1137</v>
      </c>
      <c r="J146" s="78" t="s">
        <v>1193</v>
      </c>
      <c r="K146" s="20">
        <v>1</v>
      </c>
      <c r="L146" s="20">
        <v>1</v>
      </c>
      <c r="M146" s="20" t="s">
        <v>1095</v>
      </c>
      <c r="N146" s="59" t="s">
        <v>733</v>
      </c>
      <c r="O146" s="20" t="s">
        <v>68</v>
      </c>
      <c r="P146" s="20"/>
      <c r="Q146" s="20" t="s">
        <v>21</v>
      </c>
      <c r="R146" s="20" t="s">
        <v>15</v>
      </c>
      <c r="S146" s="20"/>
      <c r="T146" s="20" t="s">
        <v>346</v>
      </c>
      <c r="U146" s="20" t="s">
        <v>396</v>
      </c>
      <c r="V146" s="20" t="s">
        <v>792</v>
      </c>
      <c r="W146" s="20" t="s">
        <v>734</v>
      </c>
      <c r="X146" s="59" t="s">
        <v>797</v>
      </c>
      <c r="Y146" s="20" t="s">
        <v>717</v>
      </c>
      <c r="Z146" s="71">
        <v>0</v>
      </c>
      <c r="AA146" s="71">
        <v>99000</v>
      </c>
      <c r="AB146" s="71">
        <v>99000</v>
      </c>
      <c r="AC146" s="71">
        <v>99000</v>
      </c>
      <c r="AD146" s="105">
        <f>$AC146*$K146</f>
        <v>99000</v>
      </c>
      <c r="AE146" s="121">
        <v>45873</v>
      </c>
    </row>
    <row r="147" spans="1:31" s="57" customFormat="1" x14ac:dyDescent="0.2">
      <c r="B147" s="12">
        <v>145</v>
      </c>
      <c r="C147" s="20">
        <v>3</v>
      </c>
      <c r="D147" s="20">
        <v>170168752</v>
      </c>
      <c r="E147" s="20" t="str">
        <f t="shared" si="11"/>
        <v>170168752</v>
      </c>
      <c r="F147" s="20" t="s">
        <v>412</v>
      </c>
      <c r="G147" s="59" t="s">
        <v>150</v>
      </c>
      <c r="H147" s="58" t="s">
        <v>734</v>
      </c>
      <c r="I147" s="78" t="s">
        <v>1137</v>
      </c>
      <c r="J147" s="78" t="s">
        <v>1193</v>
      </c>
      <c r="K147" s="20">
        <v>1</v>
      </c>
      <c r="L147" s="20">
        <v>1</v>
      </c>
      <c r="M147" s="20" t="s">
        <v>1095</v>
      </c>
      <c r="N147" s="59" t="s">
        <v>733</v>
      </c>
      <c r="O147" s="20" t="s">
        <v>14</v>
      </c>
      <c r="P147" s="20"/>
      <c r="Q147" s="20" t="s">
        <v>21</v>
      </c>
      <c r="R147" s="20" t="s">
        <v>15</v>
      </c>
      <c r="S147" s="20"/>
      <c r="T147" s="20" t="s">
        <v>346</v>
      </c>
      <c r="U147" s="20" t="s">
        <v>396</v>
      </c>
      <c r="V147" s="20" t="s">
        <v>792</v>
      </c>
      <c r="W147" s="20" t="s">
        <v>734</v>
      </c>
      <c r="X147" s="59" t="s">
        <v>797</v>
      </c>
      <c r="Y147" s="20" t="s">
        <v>717</v>
      </c>
      <c r="Z147" s="71">
        <v>218312</v>
      </c>
      <c r="AA147" s="71">
        <v>218700</v>
      </c>
      <c r="AB147" s="71">
        <v>218700</v>
      </c>
      <c r="AC147" s="71">
        <v>218700</v>
      </c>
      <c r="AD147" s="105">
        <f>$AC147*$K147</f>
        <v>218700</v>
      </c>
      <c r="AE147" s="121">
        <v>45873</v>
      </c>
    </row>
    <row r="148" spans="1:31" s="57" customFormat="1" x14ac:dyDescent="0.2">
      <c r="B148" s="49">
        <v>146</v>
      </c>
      <c r="C148" s="50">
        <v>3</v>
      </c>
      <c r="D148" s="50" t="s">
        <v>378</v>
      </c>
      <c r="E148" s="50" t="str">
        <f t="shared" si="11"/>
        <v>2001-0022-0011</v>
      </c>
      <c r="F148" s="50" t="s">
        <v>410</v>
      </c>
      <c r="G148" s="52" t="s">
        <v>140</v>
      </c>
      <c r="H148" s="51" t="s">
        <v>1230</v>
      </c>
      <c r="I148" s="79" t="s">
        <v>397</v>
      </c>
      <c r="J148" s="79" t="s">
        <v>1193</v>
      </c>
      <c r="K148" s="50">
        <v>1</v>
      </c>
      <c r="L148" s="50">
        <v>1</v>
      </c>
      <c r="M148" s="50" t="s">
        <v>1074</v>
      </c>
      <c r="N148" s="52" t="s">
        <v>712</v>
      </c>
      <c r="O148" s="50" t="s">
        <v>70</v>
      </c>
      <c r="P148" s="50"/>
      <c r="Q148" s="50" t="s">
        <v>21</v>
      </c>
      <c r="R148" s="50" t="s">
        <v>15</v>
      </c>
      <c r="S148" s="50"/>
      <c r="T148" s="50" t="s">
        <v>346</v>
      </c>
      <c r="U148" s="50" t="s">
        <v>346</v>
      </c>
      <c r="V148" s="50" t="s">
        <v>721</v>
      </c>
      <c r="W148" s="52" t="s">
        <v>770</v>
      </c>
      <c r="X148" s="52" t="s">
        <v>846</v>
      </c>
      <c r="Y148" s="50" t="s">
        <v>717</v>
      </c>
      <c r="Z148" s="72">
        <v>0</v>
      </c>
      <c r="AA148" s="72">
        <v>7840</v>
      </c>
      <c r="AB148" s="72">
        <v>0</v>
      </c>
      <c r="AC148" s="72">
        <v>7840</v>
      </c>
      <c r="AD148" s="109">
        <v>0</v>
      </c>
      <c r="AE148" s="118"/>
    </row>
    <row r="149" spans="1:31" s="57" customFormat="1" x14ac:dyDescent="0.2">
      <c r="B149" s="12">
        <v>147</v>
      </c>
      <c r="C149" s="20">
        <v>3</v>
      </c>
      <c r="D149" s="20">
        <v>320000363</v>
      </c>
      <c r="E149" s="20" t="str">
        <f t="shared" si="11"/>
        <v>320000363</v>
      </c>
      <c r="F149" s="20" t="s">
        <v>412</v>
      </c>
      <c r="G149" s="59" t="s">
        <v>103</v>
      </c>
      <c r="H149" s="58" t="s">
        <v>766</v>
      </c>
      <c r="I149" s="78" t="s">
        <v>820</v>
      </c>
      <c r="J149" s="78" t="s">
        <v>1193</v>
      </c>
      <c r="K149" s="20">
        <v>1</v>
      </c>
      <c r="L149" s="20">
        <v>1</v>
      </c>
      <c r="M149" s="20" t="s">
        <v>1095</v>
      </c>
      <c r="N149" s="59" t="s">
        <v>801</v>
      </c>
      <c r="O149" s="20" t="s">
        <v>83</v>
      </c>
      <c r="P149" s="20"/>
      <c r="Q149" s="20" t="s">
        <v>21</v>
      </c>
      <c r="R149" s="20" t="s">
        <v>15</v>
      </c>
      <c r="S149" s="20"/>
      <c r="T149" s="20" t="s">
        <v>346</v>
      </c>
      <c r="U149" s="20" t="s">
        <v>346</v>
      </c>
      <c r="V149" s="20" t="s">
        <v>1238</v>
      </c>
      <c r="W149" s="59" t="s">
        <v>805</v>
      </c>
      <c r="X149" s="59" t="s">
        <v>839</v>
      </c>
      <c r="Y149" s="20" t="s">
        <v>843</v>
      </c>
      <c r="Z149" s="71">
        <v>0</v>
      </c>
      <c r="AA149" s="71">
        <v>290000</v>
      </c>
      <c r="AB149" s="71">
        <v>290000</v>
      </c>
      <c r="AC149" s="71">
        <v>89.59</v>
      </c>
      <c r="AD149" s="105">
        <f>($Y$1*$AC149)*$K149</f>
        <v>121484.04000000001</v>
      </c>
      <c r="AE149" s="118"/>
    </row>
    <row r="150" spans="1:31" s="57" customFormat="1" x14ac:dyDescent="0.2">
      <c r="B150" s="12">
        <v>148</v>
      </c>
      <c r="C150" s="20">
        <v>3</v>
      </c>
      <c r="D150" s="20">
        <v>340001643</v>
      </c>
      <c r="E150" s="20" t="str">
        <f t="shared" si="11"/>
        <v>340001643</v>
      </c>
      <c r="F150" s="20" t="s">
        <v>410</v>
      </c>
      <c r="G150" s="59" t="s">
        <v>143</v>
      </c>
      <c r="H150" s="58" t="s">
        <v>1120</v>
      </c>
      <c r="I150" s="78" t="s">
        <v>1135</v>
      </c>
      <c r="J150" s="78" t="s">
        <v>1193</v>
      </c>
      <c r="K150" s="20">
        <v>1</v>
      </c>
      <c r="L150" s="20">
        <v>1</v>
      </c>
      <c r="M150" s="20" t="s">
        <v>1095</v>
      </c>
      <c r="N150" s="59" t="s">
        <v>718</v>
      </c>
      <c r="O150" s="20" t="s">
        <v>106</v>
      </c>
      <c r="P150" s="20"/>
      <c r="Q150" s="20" t="s">
        <v>21</v>
      </c>
      <c r="R150" s="20" t="s">
        <v>15</v>
      </c>
      <c r="S150" s="20"/>
      <c r="T150" s="20" t="s">
        <v>346</v>
      </c>
      <c r="U150" s="20" t="s">
        <v>346</v>
      </c>
      <c r="V150" s="20" t="s">
        <v>1259</v>
      </c>
      <c r="W150" s="20" t="s">
        <v>1256</v>
      </c>
      <c r="X150" s="59" t="s">
        <v>1040</v>
      </c>
      <c r="Y150" s="20" t="s">
        <v>717</v>
      </c>
      <c r="Z150" s="71">
        <v>0</v>
      </c>
      <c r="AA150" s="71">
        <v>47000</v>
      </c>
      <c r="AB150" s="71">
        <v>47000</v>
      </c>
      <c r="AC150" s="71">
        <v>47000</v>
      </c>
      <c r="AD150" s="110">
        <f>$AC150*$K150</f>
        <v>47000</v>
      </c>
      <c r="AE150" s="118"/>
    </row>
    <row r="151" spans="1:31" s="57" customFormat="1" x14ac:dyDescent="0.2">
      <c r="A151" s="57" t="s">
        <v>1051</v>
      </c>
      <c r="B151" s="19">
        <v>149</v>
      </c>
      <c r="C151" s="18">
        <v>3</v>
      </c>
      <c r="D151" s="18">
        <v>340001871</v>
      </c>
      <c r="E151" s="18" t="str">
        <f t="shared" si="11"/>
        <v>340001871</v>
      </c>
      <c r="F151" s="18" t="s">
        <v>442</v>
      </c>
      <c r="G151" s="56" t="s">
        <v>369</v>
      </c>
      <c r="H151" s="55" t="s">
        <v>747</v>
      </c>
      <c r="I151" s="76" t="s">
        <v>1133</v>
      </c>
      <c r="J151" s="76" t="s">
        <v>1193</v>
      </c>
      <c r="K151" s="18">
        <v>2</v>
      </c>
      <c r="L151" s="18">
        <v>2</v>
      </c>
      <c r="M151" s="18" t="s">
        <v>1095</v>
      </c>
      <c r="N151" s="56" t="s">
        <v>720</v>
      </c>
      <c r="O151" s="18" t="s">
        <v>76</v>
      </c>
      <c r="P151" s="18"/>
      <c r="Q151" s="18" t="s">
        <v>18</v>
      </c>
      <c r="R151" s="18" t="s">
        <v>38</v>
      </c>
      <c r="S151" s="18"/>
      <c r="T151" s="18" t="s">
        <v>346</v>
      </c>
      <c r="U151" s="18" t="s">
        <v>346</v>
      </c>
      <c r="V151" s="18" t="s">
        <v>1238</v>
      </c>
      <c r="W151" s="56" t="s">
        <v>805</v>
      </c>
      <c r="X151" s="56" t="s">
        <v>840</v>
      </c>
      <c r="Y151" s="18" t="s">
        <v>843</v>
      </c>
      <c r="Z151" s="73">
        <v>83998.5</v>
      </c>
      <c r="AA151" s="73">
        <v>132000</v>
      </c>
      <c r="AB151" s="73">
        <v>264000</v>
      </c>
      <c r="AC151" s="73">
        <v>56.15</v>
      </c>
      <c r="AD151" s="110">
        <f>($Y$1*$AC151)*$K151</f>
        <v>152278.79999999999</v>
      </c>
      <c r="AE151" s="118"/>
    </row>
    <row r="152" spans="1:31" s="57" customFormat="1" x14ac:dyDescent="0.2">
      <c r="B152" s="12">
        <v>150</v>
      </c>
      <c r="C152" s="20">
        <v>3</v>
      </c>
      <c r="D152" s="20">
        <v>340002212</v>
      </c>
      <c r="E152" s="20" t="str">
        <f t="shared" si="11"/>
        <v>340002212</v>
      </c>
      <c r="F152" s="20" t="s">
        <v>410</v>
      </c>
      <c r="G152" s="59" t="s">
        <v>104</v>
      </c>
      <c r="H152" s="58" t="s">
        <v>747</v>
      </c>
      <c r="I152" s="78" t="s">
        <v>821</v>
      </c>
      <c r="J152" s="78" t="s">
        <v>1193</v>
      </c>
      <c r="K152" s="20">
        <v>2</v>
      </c>
      <c r="L152" s="20">
        <v>2</v>
      </c>
      <c r="M152" s="20" t="s">
        <v>1095</v>
      </c>
      <c r="N152" s="59" t="s">
        <v>720</v>
      </c>
      <c r="O152" s="20" t="s">
        <v>76</v>
      </c>
      <c r="P152" s="20"/>
      <c r="Q152" s="20" t="s">
        <v>18</v>
      </c>
      <c r="R152" s="20" t="s">
        <v>15</v>
      </c>
      <c r="S152" s="20"/>
      <c r="T152" s="20" t="s">
        <v>346</v>
      </c>
      <c r="U152" s="20" t="s">
        <v>346</v>
      </c>
      <c r="V152" s="20" t="s">
        <v>1240</v>
      </c>
      <c r="W152" s="59" t="s">
        <v>805</v>
      </c>
      <c r="X152" s="59" t="s">
        <v>840</v>
      </c>
      <c r="Y152" s="20" t="s">
        <v>843</v>
      </c>
      <c r="Z152" s="71">
        <v>0</v>
      </c>
      <c r="AA152" s="71">
        <v>163000</v>
      </c>
      <c r="AB152" s="71">
        <v>326000</v>
      </c>
      <c r="AC152" s="71">
        <v>62.91</v>
      </c>
      <c r="AD152" s="105">
        <f>($Y$1*$AC152)*$K152</f>
        <v>170611.91999999998</v>
      </c>
      <c r="AE152" s="118"/>
    </row>
    <row r="153" spans="1:31" s="57" customFormat="1" x14ac:dyDescent="0.2">
      <c r="B153" s="12">
        <v>151</v>
      </c>
      <c r="C153" s="20">
        <v>3</v>
      </c>
      <c r="D153" s="20">
        <v>340218502</v>
      </c>
      <c r="E153" s="20">
        <v>340218502</v>
      </c>
      <c r="F153" s="20" t="s">
        <v>524</v>
      </c>
      <c r="G153" s="59" t="s">
        <v>525</v>
      </c>
      <c r="H153" s="58" t="s">
        <v>1120</v>
      </c>
      <c r="I153" s="78" t="s">
        <v>1036</v>
      </c>
      <c r="J153" s="78" t="s">
        <v>1193</v>
      </c>
      <c r="K153" s="20">
        <v>1</v>
      </c>
      <c r="L153" s="20">
        <v>1</v>
      </c>
      <c r="M153" s="20" t="s">
        <v>1095</v>
      </c>
      <c r="N153" s="59" t="s">
        <v>1137</v>
      </c>
      <c r="O153" s="20"/>
      <c r="P153" s="20"/>
      <c r="Q153" s="20" t="s">
        <v>21</v>
      </c>
      <c r="R153" s="20" t="s">
        <v>15</v>
      </c>
      <c r="S153" s="20"/>
      <c r="T153" s="20" t="s">
        <v>346</v>
      </c>
      <c r="U153" s="20" t="s">
        <v>346</v>
      </c>
      <c r="V153" s="20" t="s">
        <v>1259</v>
      </c>
      <c r="W153" s="20" t="s">
        <v>1257</v>
      </c>
      <c r="X153" s="59" t="s">
        <v>1040</v>
      </c>
      <c r="Y153" s="20" t="s">
        <v>717</v>
      </c>
      <c r="Z153" s="71">
        <v>0</v>
      </c>
      <c r="AA153" s="71">
        <v>6800</v>
      </c>
      <c r="AB153" s="71">
        <f>$K153*AA153</f>
        <v>6800</v>
      </c>
      <c r="AC153" s="71">
        <v>6800</v>
      </c>
      <c r="AD153" s="110">
        <f>$AC153*$K153</f>
        <v>6800</v>
      </c>
      <c r="AE153" s="118"/>
    </row>
    <row r="154" spans="1:31" s="57" customFormat="1" x14ac:dyDescent="0.2">
      <c r="B154" s="12">
        <v>152</v>
      </c>
      <c r="C154" s="20">
        <v>3</v>
      </c>
      <c r="D154" s="20">
        <v>3400775</v>
      </c>
      <c r="E154" s="20" t="str">
        <f t="shared" ref="E154:E217" si="12">TRIM(D154)</f>
        <v>3400775</v>
      </c>
      <c r="F154" s="20" t="s">
        <v>418</v>
      </c>
      <c r="G154" s="59" t="s">
        <v>145</v>
      </c>
      <c r="H154" s="58" t="s">
        <v>1120</v>
      </c>
      <c r="I154" s="78" t="s">
        <v>1138</v>
      </c>
      <c r="J154" s="78" t="s">
        <v>397</v>
      </c>
      <c r="K154" s="20">
        <v>1</v>
      </c>
      <c r="L154" s="20">
        <v>1</v>
      </c>
      <c r="M154" s="20" t="s">
        <v>1095</v>
      </c>
      <c r="N154" s="59" t="s">
        <v>712</v>
      </c>
      <c r="O154" s="20" t="s">
        <v>93</v>
      </c>
      <c r="P154" s="20"/>
      <c r="Q154" s="20" t="s">
        <v>21</v>
      </c>
      <c r="R154" s="20" t="s">
        <v>15</v>
      </c>
      <c r="S154" s="20"/>
      <c r="T154" s="20" t="s">
        <v>346</v>
      </c>
      <c r="U154" s="20" t="s">
        <v>346</v>
      </c>
      <c r="V154" s="20" t="s">
        <v>1258</v>
      </c>
      <c r="W154" s="20" t="s">
        <v>1256</v>
      </c>
      <c r="X154" s="59" t="s">
        <v>1040</v>
      </c>
      <c r="Y154" s="20" t="s">
        <v>717</v>
      </c>
      <c r="Z154" s="71">
        <v>0</v>
      </c>
      <c r="AA154" s="71">
        <v>10300</v>
      </c>
      <c r="AB154" s="71">
        <v>10300</v>
      </c>
      <c r="AC154" s="71">
        <v>10300</v>
      </c>
      <c r="AD154" s="110">
        <f>$AC154*$K154</f>
        <v>10300</v>
      </c>
      <c r="AE154" s="118"/>
    </row>
    <row r="155" spans="1:31" s="57" customFormat="1" x14ac:dyDescent="0.2">
      <c r="B155" s="12">
        <v>153</v>
      </c>
      <c r="C155" s="20">
        <v>3</v>
      </c>
      <c r="D155" s="20">
        <v>3402049</v>
      </c>
      <c r="E155" s="20" t="str">
        <f t="shared" si="12"/>
        <v>3402049</v>
      </c>
      <c r="F155" s="20" t="s">
        <v>422</v>
      </c>
      <c r="G155" s="59" t="s">
        <v>105</v>
      </c>
      <c r="H155" s="58" t="s">
        <v>1124</v>
      </c>
      <c r="I155" s="78" t="s">
        <v>1130</v>
      </c>
      <c r="J155" s="78" t="s">
        <v>1193</v>
      </c>
      <c r="K155" s="20">
        <v>1</v>
      </c>
      <c r="L155" s="20">
        <v>1</v>
      </c>
      <c r="M155" s="20" t="s">
        <v>1095</v>
      </c>
      <c r="N155" s="59" t="s">
        <v>720</v>
      </c>
      <c r="O155" s="20" t="s">
        <v>96</v>
      </c>
      <c r="P155" s="20"/>
      <c r="Q155" s="20" t="s">
        <v>21</v>
      </c>
      <c r="R155" s="20" t="s">
        <v>15</v>
      </c>
      <c r="S155" s="20"/>
      <c r="T155" s="20" t="s">
        <v>346</v>
      </c>
      <c r="U155" s="20" t="s">
        <v>346</v>
      </c>
      <c r="V155" s="20" t="s">
        <v>1244</v>
      </c>
      <c r="W155" s="59" t="s">
        <v>806</v>
      </c>
      <c r="X155" s="59" t="s">
        <v>841</v>
      </c>
      <c r="Y155" s="20" t="s">
        <v>717</v>
      </c>
      <c r="Z155" s="71">
        <v>0</v>
      </c>
      <c r="AA155" s="71">
        <v>68969</v>
      </c>
      <c r="AB155" s="71">
        <f>AA155*K155</f>
        <v>68969</v>
      </c>
      <c r="AC155" s="71">
        <v>90219</v>
      </c>
      <c r="AD155" s="105">
        <f>$AC155*$K155</f>
        <v>90219</v>
      </c>
      <c r="AE155" s="118"/>
    </row>
    <row r="156" spans="1:31" s="57" customFormat="1" x14ac:dyDescent="0.2">
      <c r="B156" s="12">
        <v>154</v>
      </c>
      <c r="C156" s="20">
        <v>3</v>
      </c>
      <c r="D156" s="20">
        <v>350001184</v>
      </c>
      <c r="E156" s="20" t="str">
        <f t="shared" si="12"/>
        <v>350001184</v>
      </c>
      <c r="F156" s="20" t="s">
        <v>422</v>
      </c>
      <c r="G156" s="59" t="s">
        <v>108</v>
      </c>
      <c r="H156" s="58" t="s">
        <v>1228</v>
      </c>
      <c r="I156" s="78" t="s">
        <v>1220</v>
      </c>
      <c r="J156" s="78" t="s">
        <v>1193</v>
      </c>
      <c r="K156" s="20">
        <v>2</v>
      </c>
      <c r="L156" s="20">
        <v>2</v>
      </c>
      <c r="M156" s="20" t="s">
        <v>1095</v>
      </c>
      <c r="N156" s="59" t="s">
        <v>720</v>
      </c>
      <c r="O156" s="20" t="s">
        <v>72</v>
      </c>
      <c r="P156" s="20"/>
      <c r="Q156" s="20" t="s">
        <v>18</v>
      </c>
      <c r="R156" s="20" t="s">
        <v>15</v>
      </c>
      <c r="S156" s="20"/>
      <c r="T156" s="20" t="s">
        <v>346</v>
      </c>
      <c r="U156" s="20" t="s">
        <v>346</v>
      </c>
      <c r="V156" s="20" t="s">
        <v>836</v>
      </c>
      <c r="W156" s="59" t="s">
        <v>804</v>
      </c>
      <c r="X156" s="59" t="s">
        <v>751</v>
      </c>
      <c r="Y156" s="20" t="s">
        <v>717</v>
      </c>
      <c r="Z156" s="71">
        <v>0</v>
      </c>
      <c r="AA156" s="71">
        <v>2470</v>
      </c>
      <c r="AB156" s="71">
        <v>4940</v>
      </c>
      <c r="AC156" s="71">
        <v>2470</v>
      </c>
      <c r="AD156" s="105">
        <f>$AC156*$K156</f>
        <v>4940</v>
      </c>
      <c r="AE156" s="118"/>
    </row>
    <row r="157" spans="1:31" s="57" customFormat="1" x14ac:dyDescent="0.2">
      <c r="B157" s="12">
        <v>155</v>
      </c>
      <c r="C157" s="20">
        <v>3</v>
      </c>
      <c r="D157" s="20">
        <v>430000724</v>
      </c>
      <c r="E157" s="20" t="str">
        <f t="shared" si="12"/>
        <v>430000724</v>
      </c>
      <c r="F157" s="20" t="s">
        <v>432</v>
      </c>
      <c r="G157" s="59" t="s">
        <v>110</v>
      </c>
      <c r="H157" s="58" t="s">
        <v>747</v>
      </c>
      <c r="I157" s="78" t="s">
        <v>1126</v>
      </c>
      <c r="J157" s="78" t="s">
        <v>1193</v>
      </c>
      <c r="K157" s="20">
        <v>2</v>
      </c>
      <c r="L157" s="20">
        <v>2</v>
      </c>
      <c r="M157" s="20" t="s">
        <v>1095</v>
      </c>
      <c r="N157" s="59" t="s">
        <v>720</v>
      </c>
      <c r="O157" s="20" t="s">
        <v>14</v>
      </c>
      <c r="P157" s="20"/>
      <c r="Q157" s="20" t="s">
        <v>18</v>
      </c>
      <c r="R157" s="20" t="s">
        <v>15</v>
      </c>
      <c r="S157" s="20"/>
      <c r="T157" s="20" t="s">
        <v>346</v>
      </c>
      <c r="U157" s="20" t="s">
        <v>346</v>
      </c>
      <c r="V157" s="20" t="s">
        <v>1240</v>
      </c>
      <c r="W157" s="59" t="s">
        <v>805</v>
      </c>
      <c r="X157" s="59" t="s">
        <v>840</v>
      </c>
      <c r="Y157" s="20" t="s">
        <v>843</v>
      </c>
      <c r="Z157" s="71">
        <v>0</v>
      </c>
      <c r="AA157" s="71">
        <v>75000</v>
      </c>
      <c r="AB157" s="71">
        <v>150000</v>
      </c>
      <c r="AC157" s="71">
        <v>23.08</v>
      </c>
      <c r="AD157" s="105">
        <f>($Y$1*$AC157)*$K157</f>
        <v>62592.959999999992</v>
      </c>
      <c r="AE157" s="118"/>
    </row>
    <row r="158" spans="1:31" s="57" customFormat="1" x14ac:dyDescent="0.2">
      <c r="B158" s="12">
        <v>156</v>
      </c>
      <c r="C158" s="20">
        <v>3</v>
      </c>
      <c r="D158" s="20" t="s">
        <v>367</v>
      </c>
      <c r="E158" s="20" t="str">
        <f t="shared" si="12"/>
        <v>44S0093</v>
      </c>
      <c r="F158" s="20" t="s">
        <v>433</v>
      </c>
      <c r="G158" s="59" t="s">
        <v>112</v>
      </c>
      <c r="H158" s="58" t="s">
        <v>747</v>
      </c>
      <c r="I158" s="78" t="s">
        <v>1127</v>
      </c>
      <c r="J158" s="78" t="s">
        <v>1193</v>
      </c>
      <c r="K158" s="20">
        <v>4</v>
      </c>
      <c r="L158" s="20">
        <v>4</v>
      </c>
      <c r="M158" s="20" t="s">
        <v>1095</v>
      </c>
      <c r="N158" s="59" t="s">
        <v>718</v>
      </c>
      <c r="O158" s="20" t="s">
        <v>14</v>
      </c>
      <c r="P158" s="20"/>
      <c r="Q158" s="20" t="s">
        <v>55</v>
      </c>
      <c r="R158" s="20" t="s">
        <v>15</v>
      </c>
      <c r="S158" s="20"/>
      <c r="T158" s="20" t="s">
        <v>346</v>
      </c>
      <c r="U158" s="20" t="s">
        <v>346</v>
      </c>
      <c r="V158" s="20" t="s">
        <v>1238</v>
      </c>
      <c r="W158" s="59" t="s">
        <v>805</v>
      </c>
      <c r="X158" s="59" t="s">
        <v>840</v>
      </c>
      <c r="Y158" s="20" t="s">
        <v>843</v>
      </c>
      <c r="Z158" s="71">
        <v>0</v>
      </c>
      <c r="AA158" s="71">
        <v>400</v>
      </c>
      <c r="AB158" s="71">
        <v>400</v>
      </c>
      <c r="AC158" s="71">
        <v>9.4700000000000006</v>
      </c>
      <c r="AD158" s="105">
        <v>0</v>
      </c>
      <c r="AE158" s="118"/>
    </row>
    <row r="159" spans="1:31" s="57" customFormat="1" x14ac:dyDescent="0.25">
      <c r="B159" s="19">
        <v>157</v>
      </c>
      <c r="C159" s="18">
        <v>3</v>
      </c>
      <c r="D159" s="46">
        <v>900000909</v>
      </c>
      <c r="E159" s="46" t="str">
        <f t="shared" si="12"/>
        <v>900000909</v>
      </c>
      <c r="F159" s="18" t="s">
        <v>506</v>
      </c>
      <c r="G159" s="56" t="s">
        <v>521</v>
      </c>
      <c r="H159" s="55" t="s">
        <v>712</v>
      </c>
      <c r="I159" s="76" t="s">
        <v>1137</v>
      </c>
      <c r="J159" s="76" t="s">
        <v>1137</v>
      </c>
      <c r="K159" s="18">
        <v>0</v>
      </c>
      <c r="L159" s="18">
        <v>0</v>
      </c>
      <c r="M159" s="18" t="s">
        <v>1095</v>
      </c>
      <c r="N159" s="56" t="s">
        <v>1137</v>
      </c>
      <c r="O159" s="18"/>
      <c r="P159" s="18"/>
      <c r="Q159" s="18" t="s">
        <v>517</v>
      </c>
      <c r="R159" s="18"/>
      <c r="S159" s="18"/>
      <c r="T159" s="18"/>
      <c r="U159" s="18"/>
      <c r="V159" s="18"/>
      <c r="W159" s="56"/>
      <c r="X159" s="56"/>
      <c r="Y159" s="18"/>
      <c r="Z159" s="73"/>
      <c r="AA159" s="73"/>
      <c r="AB159" s="73"/>
      <c r="AC159" s="73"/>
      <c r="AD159" s="110"/>
      <c r="AE159" s="118"/>
    </row>
    <row r="160" spans="1:31" s="57" customFormat="1" x14ac:dyDescent="0.2">
      <c r="B160" s="12">
        <v>158</v>
      </c>
      <c r="C160" s="20">
        <v>3</v>
      </c>
      <c r="D160" s="20">
        <v>9200106</v>
      </c>
      <c r="E160" s="20" t="str">
        <f t="shared" si="12"/>
        <v>9200106</v>
      </c>
      <c r="F160" s="20" t="s">
        <v>434</v>
      </c>
      <c r="G160" s="59" t="s">
        <v>114</v>
      </c>
      <c r="H160" s="58" t="s">
        <v>728</v>
      </c>
      <c r="I160" s="78" t="s">
        <v>824</v>
      </c>
      <c r="J160" s="78" t="s">
        <v>1193</v>
      </c>
      <c r="K160" s="20">
        <v>0</v>
      </c>
      <c r="L160" s="20">
        <v>0</v>
      </c>
      <c r="M160" s="20" t="s">
        <v>1080</v>
      </c>
      <c r="N160" s="59" t="s">
        <v>719</v>
      </c>
      <c r="O160" s="20" t="s">
        <v>151</v>
      </c>
      <c r="P160" s="20"/>
      <c r="Q160" s="20" t="s">
        <v>25</v>
      </c>
      <c r="R160" s="20" t="s">
        <v>15</v>
      </c>
      <c r="S160" s="20"/>
      <c r="T160" s="20" t="s">
        <v>346</v>
      </c>
      <c r="U160" s="20" t="s">
        <v>346</v>
      </c>
      <c r="V160" s="20" t="s">
        <v>738</v>
      </c>
      <c r="W160" s="59" t="s">
        <v>735</v>
      </c>
      <c r="X160" s="59" t="s">
        <v>842</v>
      </c>
      <c r="Y160" s="20" t="s">
        <v>717</v>
      </c>
      <c r="Z160" s="71">
        <v>0</v>
      </c>
      <c r="AA160" s="71">
        <v>28800</v>
      </c>
      <c r="AB160" s="71">
        <v>0</v>
      </c>
      <c r="AC160" s="71">
        <v>28800</v>
      </c>
      <c r="AD160" s="110">
        <v>0</v>
      </c>
      <c r="AE160" s="118" t="s">
        <v>1262</v>
      </c>
    </row>
    <row r="161" spans="2:31" s="57" customFormat="1" x14ac:dyDescent="0.2">
      <c r="B161" s="49">
        <v>159</v>
      </c>
      <c r="C161" s="50">
        <v>2</v>
      </c>
      <c r="D161" s="50">
        <v>120006025</v>
      </c>
      <c r="E161" s="50" t="str">
        <f t="shared" si="12"/>
        <v>120006025</v>
      </c>
      <c r="F161" s="50" t="s">
        <v>412</v>
      </c>
      <c r="G161" s="52" t="s">
        <v>152</v>
      </c>
      <c r="H161" s="51" t="s">
        <v>712</v>
      </c>
      <c r="I161" s="79" t="s">
        <v>397</v>
      </c>
      <c r="J161" s="79" t="s">
        <v>1193</v>
      </c>
      <c r="K161" s="50">
        <v>1</v>
      </c>
      <c r="L161" s="50">
        <v>1</v>
      </c>
      <c r="M161" s="50" t="s">
        <v>1074</v>
      </c>
      <c r="N161" s="52" t="s">
        <v>712</v>
      </c>
      <c r="O161" s="50" t="s">
        <v>14</v>
      </c>
      <c r="P161" s="50"/>
      <c r="Q161" s="50" t="s">
        <v>21</v>
      </c>
      <c r="R161" s="50" t="s">
        <v>15</v>
      </c>
      <c r="S161" s="50"/>
      <c r="T161" s="50" t="s">
        <v>352</v>
      </c>
      <c r="U161" s="50" t="s">
        <v>352</v>
      </c>
      <c r="V161" s="50" t="s">
        <v>712</v>
      </c>
      <c r="W161" s="52" t="s">
        <v>712</v>
      </c>
      <c r="X161" s="52" t="s">
        <v>712</v>
      </c>
      <c r="Y161" s="50" t="s">
        <v>717</v>
      </c>
      <c r="Z161" s="72">
        <v>0</v>
      </c>
      <c r="AA161" s="72">
        <v>0</v>
      </c>
      <c r="AB161" s="72">
        <v>0</v>
      </c>
      <c r="AC161" s="72">
        <v>0</v>
      </c>
      <c r="AD161" s="109">
        <v>0</v>
      </c>
      <c r="AE161" s="118"/>
    </row>
    <row r="162" spans="2:31" s="57" customFormat="1" ht="27" x14ac:dyDescent="0.2">
      <c r="B162" s="12">
        <v>160</v>
      </c>
      <c r="C162" s="20">
        <v>3</v>
      </c>
      <c r="D162" s="20">
        <v>230000654</v>
      </c>
      <c r="E162" s="20" t="str">
        <f t="shared" si="12"/>
        <v>230000654</v>
      </c>
      <c r="F162" s="20" t="s">
        <v>410</v>
      </c>
      <c r="G162" s="59" t="s">
        <v>153</v>
      </c>
      <c r="H162" s="58" t="s">
        <v>771</v>
      </c>
      <c r="I162" s="78" t="s">
        <v>902</v>
      </c>
      <c r="J162" s="78" t="s">
        <v>1193</v>
      </c>
      <c r="K162" s="20">
        <v>1</v>
      </c>
      <c r="L162" s="20">
        <v>1</v>
      </c>
      <c r="M162" s="20" t="s">
        <v>1095</v>
      </c>
      <c r="N162" s="59" t="s">
        <v>718</v>
      </c>
      <c r="O162" s="20" t="s">
        <v>127</v>
      </c>
      <c r="P162" s="20"/>
      <c r="Q162" s="20" t="s">
        <v>21</v>
      </c>
      <c r="R162" s="20" t="s">
        <v>15</v>
      </c>
      <c r="S162" s="20"/>
      <c r="T162" s="20" t="s">
        <v>346</v>
      </c>
      <c r="U162" s="20" t="s">
        <v>346</v>
      </c>
      <c r="V162" s="20" t="s">
        <v>836</v>
      </c>
      <c r="W162" s="59" t="s">
        <v>808</v>
      </c>
      <c r="X162" s="59" t="s">
        <v>751</v>
      </c>
      <c r="Y162" s="20" t="s">
        <v>717</v>
      </c>
      <c r="Z162" s="71">
        <v>0</v>
      </c>
      <c r="AA162" s="71">
        <v>298000</v>
      </c>
      <c r="AB162" s="71">
        <v>298000</v>
      </c>
      <c r="AC162" s="71">
        <v>263000</v>
      </c>
      <c r="AD162" s="105">
        <f>$AC162*$K162</f>
        <v>263000</v>
      </c>
      <c r="AE162" s="118"/>
    </row>
    <row r="163" spans="2:31" s="57" customFormat="1" ht="27" x14ac:dyDescent="0.2">
      <c r="B163" s="12">
        <v>161</v>
      </c>
      <c r="C163" s="20">
        <v>3</v>
      </c>
      <c r="D163" s="20">
        <v>530000551</v>
      </c>
      <c r="E163" s="20" t="str">
        <f t="shared" si="12"/>
        <v>530000551</v>
      </c>
      <c r="F163" s="20" t="s">
        <v>410</v>
      </c>
      <c r="G163" s="59" t="s">
        <v>154</v>
      </c>
      <c r="H163" s="58" t="s">
        <v>771</v>
      </c>
      <c r="I163" s="78" t="s">
        <v>903</v>
      </c>
      <c r="J163" s="78" t="s">
        <v>1193</v>
      </c>
      <c r="K163" s="20">
        <v>1</v>
      </c>
      <c r="L163" s="20">
        <v>1</v>
      </c>
      <c r="M163" s="20" t="s">
        <v>1095</v>
      </c>
      <c r="N163" s="59" t="s">
        <v>718</v>
      </c>
      <c r="O163" s="20" t="s">
        <v>68</v>
      </c>
      <c r="P163" s="20"/>
      <c r="Q163" s="20" t="s">
        <v>21</v>
      </c>
      <c r="R163" s="20" t="s">
        <v>15</v>
      </c>
      <c r="S163" s="20"/>
      <c r="T163" s="20" t="s">
        <v>346</v>
      </c>
      <c r="U163" s="20" t="s">
        <v>346</v>
      </c>
      <c r="V163" s="20" t="s">
        <v>836</v>
      </c>
      <c r="W163" s="59" t="s">
        <v>808</v>
      </c>
      <c r="X163" s="59" t="s">
        <v>751</v>
      </c>
      <c r="Y163" s="20" t="s">
        <v>717</v>
      </c>
      <c r="Z163" s="71">
        <v>0</v>
      </c>
      <c r="AA163" s="71">
        <v>1080000</v>
      </c>
      <c r="AB163" s="71">
        <v>1080000</v>
      </c>
      <c r="AC163" s="71">
        <v>953000</v>
      </c>
      <c r="AD163" s="105">
        <f>$AC163*$K163</f>
        <v>953000</v>
      </c>
      <c r="AE163" s="118"/>
    </row>
    <row r="164" spans="2:31" s="57" customFormat="1" x14ac:dyDescent="0.2">
      <c r="B164" s="49">
        <v>162</v>
      </c>
      <c r="C164" s="50">
        <v>3</v>
      </c>
      <c r="D164" s="50">
        <v>8600780</v>
      </c>
      <c r="E164" s="50" t="str">
        <f t="shared" si="12"/>
        <v>8600780</v>
      </c>
      <c r="F164" s="50" t="s">
        <v>446</v>
      </c>
      <c r="G164" s="52" t="s">
        <v>156</v>
      </c>
      <c r="H164" s="51" t="s">
        <v>712</v>
      </c>
      <c r="I164" s="79" t="s">
        <v>397</v>
      </c>
      <c r="J164" s="79" t="s">
        <v>1193</v>
      </c>
      <c r="K164" s="50">
        <v>0</v>
      </c>
      <c r="L164" s="50">
        <v>0</v>
      </c>
      <c r="M164" s="50" t="s">
        <v>1076</v>
      </c>
      <c r="N164" s="52" t="s">
        <v>712</v>
      </c>
      <c r="O164" s="50" t="s">
        <v>70</v>
      </c>
      <c r="P164" s="50"/>
      <c r="Q164" s="50" t="s">
        <v>25</v>
      </c>
      <c r="R164" s="50" t="s">
        <v>38</v>
      </c>
      <c r="S164" s="50"/>
      <c r="T164" s="50" t="s">
        <v>352</v>
      </c>
      <c r="U164" s="50" t="s">
        <v>352</v>
      </c>
      <c r="V164" s="50" t="s">
        <v>712</v>
      </c>
      <c r="W164" s="52" t="s">
        <v>712</v>
      </c>
      <c r="X164" s="52" t="s">
        <v>712</v>
      </c>
      <c r="Y164" s="50" t="s">
        <v>717</v>
      </c>
      <c r="Z164" s="72">
        <v>0</v>
      </c>
      <c r="AA164" s="72">
        <v>0</v>
      </c>
      <c r="AB164" s="72">
        <v>0</v>
      </c>
      <c r="AC164" s="72">
        <v>0</v>
      </c>
      <c r="AD164" s="109">
        <v>0</v>
      </c>
      <c r="AE164" s="118"/>
    </row>
    <row r="165" spans="2:31" s="57" customFormat="1" x14ac:dyDescent="0.2">
      <c r="B165" s="49">
        <v>163</v>
      </c>
      <c r="C165" s="50">
        <v>2</v>
      </c>
      <c r="D165" s="50">
        <v>120006197</v>
      </c>
      <c r="E165" s="50" t="str">
        <f t="shared" si="12"/>
        <v>120006197</v>
      </c>
      <c r="F165" s="50" t="s">
        <v>422</v>
      </c>
      <c r="G165" s="52" t="s">
        <v>157</v>
      </c>
      <c r="H165" s="51" t="s">
        <v>712</v>
      </c>
      <c r="I165" s="79" t="s">
        <v>397</v>
      </c>
      <c r="J165" s="79" t="s">
        <v>1193</v>
      </c>
      <c r="K165" s="50">
        <v>1</v>
      </c>
      <c r="L165" s="50">
        <v>1</v>
      </c>
      <c r="M165" s="50" t="s">
        <v>1074</v>
      </c>
      <c r="N165" s="52" t="s">
        <v>712</v>
      </c>
      <c r="O165" s="50" t="s">
        <v>14</v>
      </c>
      <c r="P165" s="50"/>
      <c r="Q165" s="50" t="s">
        <v>21</v>
      </c>
      <c r="R165" s="50" t="s">
        <v>15</v>
      </c>
      <c r="S165" s="50"/>
      <c r="T165" s="50" t="s">
        <v>352</v>
      </c>
      <c r="U165" s="50" t="s">
        <v>352</v>
      </c>
      <c r="V165" s="50" t="s">
        <v>712</v>
      </c>
      <c r="W165" s="52" t="s">
        <v>712</v>
      </c>
      <c r="X165" s="52" t="s">
        <v>712</v>
      </c>
      <c r="Y165" s="50" t="s">
        <v>717</v>
      </c>
      <c r="Z165" s="72">
        <v>0</v>
      </c>
      <c r="AA165" s="72">
        <v>0</v>
      </c>
      <c r="AB165" s="72">
        <v>0</v>
      </c>
      <c r="AC165" s="72">
        <v>0</v>
      </c>
      <c r="AD165" s="109">
        <v>0</v>
      </c>
      <c r="AE165" s="118"/>
    </row>
    <row r="166" spans="2:31" s="57" customFormat="1" ht="27" x14ac:dyDescent="0.2">
      <c r="B166" s="12">
        <v>164</v>
      </c>
      <c r="C166" s="20">
        <v>3</v>
      </c>
      <c r="D166" s="20">
        <v>230000667</v>
      </c>
      <c r="E166" s="20" t="str">
        <f t="shared" si="12"/>
        <v>230000667</v>
      </c>
      <c r="F166" s="20" t="s">
        <v>410</v>
      </c>
      <c r="G166" s="59" t="s">
        <v>158</v>
      </c>
      <c r="H166" s="58" t="s">
        <v>772</v>
      </c>
      <c r="I166" s="78" t="s">
        <v>904</v>
      </c>
      <c r="J166" s="78" t="s">
        <v>1193</v>
      </c>
      <c r="K166" s="20">
        <v>1</v>
      </c>
      <c r="L166" s="20">
        <v>1</v>
      </c>
      <c r="M166" s="20" t="s">
        <v>1095</v>
      </c>
      <c r="N166" s="59" t="s">
        <v>719</v>
      </c>
      <c r="O166" s="20" t="s">
        <v>127</v>
      </c>
      <c r="P166" s="20"/>
      <c r="Q166" s="20" t="s">
        <v>21</v>
      </c>
      <c r="R166" s="20" t="s">
        <v>15</v>
      </c>
      <c r="S166" s="20"/>
      <c r="T166" s="20" t="s">
        <v>346</v>
      </c>
      <c r="U166" s="20" t="s">
        <v>346</v>
      </c>
      <c r="V166" s="20" t="s">
        <v>738</v>
      </c>
      <c r="W166" s="59" t="s">
        <v>809</v>
      </c>
      <c r="X166" s="59" t="s">
        <v>847</v>
      </c>
      <c r="Y166" s="20" t="s">
        <v>717</v>
      </c>
      <c r="Z166" s="71">
        <v>0</v>
      </c>
      <c r="AA166" s="71">
        <v>130000</v>
      </c>
      <c r="AB166" s="71">
        <v>130000</v>
      </c>
      <c r="AC166" s="71">
        <v>92000</v>
      </c>
      <c r="AD166" s="110">
        <f>$AC166*$K166</f>
        <v>92000</v>
      </c>
      <c r="AE166" s="118" t="s">
        <v>1263</v>
      </c>
    </row>
    <row r="167" spans="2:31" s="57" customFormat="1" x14ac:dyDescent="0.2">
      <c r="B167" s="49">
        <v>165</v>
      </c>
      <c r="C167" s="50">
        <v>4</v>
      </c>
      <c r="D167" s="50" t="s">
        <v>371</v>
      </c>
      <c r="E167" s="50" t="str">
        <f t="shared" si="12"/>
        <v>230000667VM</v>
      </c>
      <c r="F167" s="50" t="s">
        <v>447</v>
      </c>
      <c r="G167" s="52" t="s">
        <v>158</v>
      </c>
      <c r="H167" s="51" t="s">
        <v>772</v>
      </c>
      <c r="I167" s="79" t="s">
        <v>905</v>
      </c>
      <c r="J167" s="79" t="s">
        <v>1193</v>
      </c>
      <c r="K167" s="50">
        <v>0</v>
      </c>
      <c r="L167" s="50">
        <v>0</v>
      </c>
      <c r="M167" s="50" t="s">
        <v>1077</v>
      </c>
      <c r="N167" s="52" t="s">
        <v>719</v>
      </c>
      <c r="O167" s="50" t="s">
        <v>127</v>
      </c>
      <c r="P167" s="50"/>
      <c r="Q167" s="50" t="s">
        <v>25</v>
      </c>
      <c r="R167" s="50" t="s">
        <v>15</v>
      </c>
      <c r="S167" s="50"/>
      <c r="T167" s="50" t="s">
        <v>346</v>
      </c>
      <c r="U167" s="50" t="s">
        <v>346</v>
      </c>
      <c r="V167" s="50" t="s">
        <v>738</v>
      </c>
      <c r="W167" s="52" t="s">
        <v>809</v>
      </c>
      <c r="X167" s="52" t="s">
        <v>847</v>
      </c>
      <c r="Y167" s="50" t="s">
        <v>717</v>
      </c>
      <c r="Z167" s="72">
        <v>0</v>
      </c>
      <c r="AA167" s="72">
        <v>130000</v>
      </c>
      <c r="AB167" s="72">
        <v>0</v>
      </c>
      <c r="AC167" s="72">
        <v>92000</v>
      </c>
      <c r="AD167" s="109">
        <v>0</v>
      </c>
      <c r="AE167" s="118" t="s">
        <v>1263</v>
      </c>
    </row>
    <row r="168" spans="2:31" s="57" customFormat="1" x14ac:dyDescent="0.2">
      <c r="B168" s="49">
        <v>166</v>
      </c>
      <c r="C168" s="50">
        <v>3</v>
      </c>
      <c r="D168" s="50">
        <v>8600780</v>
      </c>
      <c r="E168" s="50" t="str">
        <f t="shared" si="12"/>
        <v>8600780</v>
      </c>
      <c r="F168" s="50" t="s">
        <v>446</v>
      </c>
      <c r="G168" s="52" t="s">
        <v>156</v>
      </c>
      <c r="H168" s="51" t="s">
        <v>712</v>
      </c>
      <c r="I168" s="79" t="s">
        <v>397</v>
      </c>
      <c r="J168" s="79" t="s">
        <v>1193</v>
      </c>
      <c r="K168" s="50">
        <v>0</v>
      </c>
      <c r="L168" s="50">
        <v>0</v>
      </c>
      <c r="M168" s="50" t="s">
        <v>1076</v>
      </c>
      <c r="N168" s="52" t="s">
        <v>712</v>
      </c>
      <c r="O168" s="50" t="s">
        <v>68</v>
      </c>
      <c r="P168" s="50"/>
      <c r="Q168" s="50" t="s">
        <v>25</v>
      </c>
      <c r="R168" s="50" t="s">
        <v>38</v>
      </c>
      <c r="S168" s="50"/>
      <c r="T168" s="50" t="s">
        <v>352</v>
      </c>
      <c r="U168" s="50" t="s">
        <v>352</v>
      </c>
      <c r="V168" s="50" t="s">
        <v>712</v>
      </c>
      <c r="W168" s="52" t="s">
        <v>712</v>
      </c>
      <c r="X168" s="52" t="s">
        <v>712</v>
      </c>
      <c r="Y168" s="50" t="s">
        <v>717</v>
      </c>
      <c r="Z168" s="72">
        <v>0</v>
      </c>
      <c r="AA168" s="72">
        <v>0</v>
      </c>
      <c r="AB168" s="72">
        <v>0</v>
      </c>
      <c r="AC168" s="72">
        <v>0</v>
      </c>
      <c r="AD168" s="109">
        <v>0</v>
      </c>
      <c r="AE168" s="118"/>
    </row>
    <row r="169" spans="2:31" s="57" customFormat="1" x14ac:dyDescent="0.2">
      <c r="B169" s="12">
        <v>167</v>
      </c>
      <c r="C169" s="20">
        <v>2</v>
      </c>
      <c r="D169" s="20">
        <v>160025507</v>
      </c>
      <c r="E169" s="20" t="str">
        <f t="shared" si="12"/>
        <v>160025507</v>
      </c>
      <c r="F169" s="20" t="s">
        <v>410</v>
      </c>
      <c r="G169" s="59" t="s">
        <v>160</v>
      </c>
      <c r="H169" s="58" t="s">
        <v>1140</v>
      </c>
      <c r="I169" s="78" t="s">
        <v>1137</v>
      </c>
      <c r="J169" s="78" t="s">
        <v>1193</v>
      </c>
      <c r="K169" s="20">
        <v>1</v>
      </c>
      <c r="L169" s="20">
        <v>1</v>
      </c>
      <c r="M169" s="20" t="s">
        <v>1095</v>
      </c>
      <c r="N169" s="59" t="s">
        <v>712</v>
      </c>
      <c r="O169" s="20" t="s">
        <v>14</v>
      </c>
      <c r="P169" s="20"/>
      <c r="Q169" s="20" t="s">
        <v>21</v>
      </c>
      <c r="R169" s="20" t="s">
        <v>15</v>
      </c>
      <c r="S169" s="20"/>
      <c r="T169" s="20" t="s">
        <v>393</v>
      </c>
      <c r="U169" s="20" t="s">
        <v>400</v>
      </c>
      <c r="V169" s="20" t="s">
        <v>721</v>
      </c>
      <c r="W169" s="59" t="s">
        <v>810</v>
      </c>
      <c r="X169" s="59" t="s">
        <v>751</v>
      </c>
      <c r="Y169" s="20" t="s">
        <v>843</v>
      </c>
      <c r="Z169" s="71">
        <v>185310</v>
      </c>
      <c r="AA169" s="71">
        <v>128.5</v>
      </c>
      <c r="AB169" s="71">
        <v>186325</v>
      </c>
      <c r="AC169" s="71">
        <v>128.5</v>
      </c>
      <c r="AD169" s="105">
        <f>($Y$1*$AC169)*$K169</f>
        <v>174246</v>
      </c>
      <c r="AE169" s="118"/>
    </row>
    <row r="170" spans="2:31" s="57" customFormat="1" ht="40.5" x14ac:dyDescent="0.2">
      <c r="B170" s="49">
        <v>168</v>
      </c>
      <c r="C170" s="50">
        <v>3</v>
      </c>
      <c r="D170" s="50">
        <v>5000472</v>
      </c>
      <c r="E170" s="50" t="str">
        <f t="shared" si="12"/>
        <v>5000472</v>
      </c>
      <c r="F170" s="50" t="s">
        <v>448</v>
      </c>
      <c r="G170" s="52" t="s">
        <v>162</v>
      </c>
      <c r="H170" s="51" t="s">
        <v>774</v>
      </c>
      <c r="I170" s="79" t="s">
        <v>906</v>
      </c>
      <c r="J170" s="79" t="s">
        <v>1193</v>
      </c>
      <c r="K170" s="50">
        <v>0</v>
      </c>
      <c r="L170" s="50">
        <v>0</v>
      </c>
      <c r="M170" s="50" t="s">
        <v>1076</v>
      </c>
      <c r="N170" s="52" t="s">
        <v>720</v>
      </c>
      <c r="O170" s="50" t="s">
        <v>127</v>
      </c>
      <c r="P170" s="50"/>
      <c r="Q170" s="50" t="s">
        <v>25</v>
      </c>
      <c r="R170" s="50" t="s">
        <v>15</v>
      </c>
      <c r="S170" s="50"/>
      <c r="T170" s="50" t="s">
        <v>397</v>
      </c>
      <c r="U170" s="50" t="s">
        <v>383</v>
      </c>
      <c r="V170" s="50" t="s">
        <v>1243</v>
      </c>
      <c r="W170" s="52" t="s">
        <v>811</v>
      </c>
      <c r="X170" s="52" t="s">
        <v>712</v>
      </c>
      <c r="Y170" s="50" t="s">
        <v>717</v>
      </c>
      <c r="Z170" s="72">
        <v>0</v>
      </c>
      <c r="AA170" s="72">
        <v>0</v>
      </c>
      <c r="AB170" s="72">
        <v>0</v>
      </c>
      <c r="AC170" s="72">
        <v>0</v>
      </c>
      <c r="AD170" s="109">
        <v>0</v>
      </c>
      <c r="AE170" s="118"/>
    </row>
    <row r="171" spans="2:31" s="57" customFormat="1" x14ac:dyDescent="0.2">
      <c r="B171" s="49">
        <v>169</v>
      </c>
      <c r="C171" s="50">
        <v>3</v>
      </c>
      <c r="D171" s="50">
        <v>510002007</v>
      </c>
      <c r="E171" s="50" t="str">
        <f t="shared" si="12"/>
        <v>510002007</v>
      </c>
      <c r="F171" s="50" t="s">
        <v>418</v>
      </c>
      <c r="G171" s="52" t="s">
        <v>163</v>
      </c>
      <c r="H171" s="51" t="s">
        <v>776</v>
      </c>
      <c r="I171" s="79" t="s">
        <v>1223</v>
      </c>
      <c r="J171" s="79" t="s">
        <v>1193</v>
      </c>
      <c r="K171" s="50">
        <v>1</v>
      </c>
      <c r="L171" s="50">
        <v>1</v>
      </c>
      <c r="M171" s="50" t="s">
        <v>1074</v>
      </c>
      <c r="N171" s="52" t="s">
        <v>718</v>
      </c>
      <c r="O171" s="50" t="s">
        <v>68</v>
      </c>
      <c r="P171" s="50"/>
      <c r="Q171" s="50" t="s">
        <v>21</v>
      </c>
      <c r="R171" s="50" t="s">
        <v>15</v>
      </c>
      <c r="S171" s="50"/>
      <c r="T171" s="50" t="s">
        <v>397</v>
      </c>
      <c r="U171" s="50" t="s">
        <v>383</v>
      </c>
      <c r="V171" s="50" t="s">
        <v>793</v>
      </c>
      <c r="W171" s="52" t="s">
        <v>812</v>
      </c>
      <c r="X171" s="52" t="s">
        <v>712</v>
      </c>
      <c r="Y171" s="50" t="s">
        <v>717</v>
      </c>
      <c r="Z171" s="72">
        <v>0</v>
      </c>
      <c r="AA171" s="72">
        <v>0</v>
      </c>
      <c r="AB171" s="72">
        <v>0</v>
      </c>
      <c r="AC171" s="72">
        <v>0</v>
      </c>
      <c r="AD171" s="109">
        <v>0</v>
      </c>
      <c r="AE171" s="118"/>
    </row>
    <row r="172" spans="2:31" s="57" customFormat="1" ht="40.5" x14ac:dyDescent="0.2">
      <c r="B172" s="49">
        <v>170</v>
      </c>
      <c r="C172" s="50">
        <v>3</v>
      </c>
      <c r="D172" s="50">
        <v>510002688</v>
      </c>
      <c r="E172" s="50" t="str">
        <f t="shared" si="12"/>
        <v>510002688</v>
      </c>
      <c r="F172" s="50" t="s">
        <v>410</v>
      </c>
      <c r="G172" s="52" t="s">
        <v>164</v>
      </c>
      <c r="H172" s="51" t="s">
        <v>772</v>
      </c>
      <c r="I172" s="79" t="s">
        <v>908</v>
      </c>
      <c r="J172" s="79" t="s">
        <v>1193</v>
      </c>
      <c r="K172" s="50">
        <v>1</v>
      </c>
      <c r="L172" s="50">
        <v>1</v>
      </c>
      <c r="M172" s="50" t="s">
        <v>1074</v>
      </c>
      <c r="N172" s="52" t="s">
        <v>712</v>
      </c>
      <c r="O172" s="50" t="s">
        <v>70</v>
      </c>
      <c r="P172" s="50"/>
      <c r="Q172" s="50" t="s">
        <v>21</v>
      </c>
      <c r="R172" s="50" t="s">
        <v>15</v>
      </c>
      <c r="S172" s="50"/>
      <c r="T172" s="50" t="s">
        <v>397</v>
      </c>
      <c r="U172" s="50" t="s">
        <v>383</v>
      </c>
      <c r="V172" s="50" t="s">
        <v>738</v>
      </c>
      <c r="W172" s="52" t="s">
        <v>809</v>
      </c>
      <c r="X172" s="52" t="s">
        <v>712</v>
      </c>
      <c r="Y172" s="50" t="s">
        <v>717</v>
      </c>
      <c r="Z172" s="72">
        <v>0</v>
      </c>
      <c r="AA172" s="72">
        <v>0</v>
      </c>
      <c r="AB172" s="72">
        <v>0</v>
      </c>
      <c r="AC172" s="72">
        <v>0</v>
      </c>
      <c r="AD172" s="109">
        <v>0</v>
      </c>
      <c r="AE172" s="118" t="s">
        <v>1263</v>
      </c>
    </row>
    <row r="173" spans="2:31" s="57" customFormat="1" x14ac:dyDescent="0.2">
      <c r="B173" s="49">
        <v>171</v>
      </c>
      <c r="C173" s="50">
        <v>3</v>
      </c>
      <c r="D173" s="50">
        <v>510002690</v>
      </c>
      <c r="E173" s="50" t="str">
        <f t="shared" si="12"/>
        <v>510002690</v>
      </c>
      <c r="F173" s="50" t="s">
        <v>418</v>
      </c>
      <c r="G173" s="52" t="s">
        <v>165</v>
      </c>
      <c r="H173" s="51" t="s">
        <v>776</v>
      </c>
      <c r="I173" s="79" t="s">
        <v>909</v>
      </c>
      <c r="J173" s="79" t="s">
        <v>1193</v>
      </c>
      <c r="K173" s="50">
        <v>1</v>
      </c>
      <c r="L173" s="50">
        <v>1</v>
      </c>
      <c r="M173" s="50" t="s">
        <v>1074</v>
      </c>
      <c r="N173" s="52" t="s">
        <v>712</v>
      </c>
      <c r="O173" s="50" t="s">
        <v>83</v>
      </c>
      <c r="P173" s="50"/>
      <c r="Q173" s="50" t="s">
        <v>21</v>
      </c>
      <c r="R173" s="50" t="s">
        <v>15</v>
      </c>
      <c r="S173" s="50"/>
      <c r="T173" s="50" t="s">
        <v>397</v>
      </c>
      <c r="U173" s="50" t="s">
        <v>383</v>
      </c>
      <c r="V173" s="50" t="s">
        <v>793</v>
      </c>
      <c r="W173" s="52" t="s">
        <v>812</v>
      </c>
      <c r="X173" s="52" t="s">
        <v>712</v>
      </c>
      <c r="Y173" s="50" t="s">
        <v>717</v>
      </c>
      <c r="Z173" s="72">
        <v>0</v>
      </c>
      <c r="AA173" s="72">
        <v>0</v>
      </c>
      <c r="AB173" s="72">
        <v>0</v>
      </c>
      <c r="AC173" s="72">
        <v>0</v>
      </c>
      <c r="AD173" s="109">
        <v>0</v>
      </c>
      <c r="AE173" s="118"/>
    </row>
    <row r="174" spans="2:31" s="57" customFormat="1" ht="27" x14ac:dyDescent="0.2">
      <c r="B174" s="49">
        <v>172</v>
      </c>
      <c r="C174" s="50">
        <v>3</v>
      </c>
      <c r="D174" s="50">
        <v>570000905</v>
      </c>
      <c r="E174" s="50" t="str">
        <f t="shared" si="12"/>
        <v>570000905</v>
      </c>
      <c r="F174" s="50" t="s">
        <v>410</v>
      </c>
      <c r="G174" s="52" t="s">
        <v>166</v>
      </c>
      <c r="H174" s="51" t="s">
        <v>772</v>
      </c>
      <c r="I174" s="79" t="s">
        <v>910</v>
      </c>
      <c r="J174" s="79" t="s">
        <v>1193</v>
      </c>
      <c r="K174" s="50">
        <v>1</v>
      </c>
      <c r="L174" s="50">
        <v>1</v>
      </c>
      <c r="M174" s="50" t="s">
        <v>1074</v>
      </c>
      <c r="N174" s="52" t="s">
        <v>712</v>
      </c>
      <c r="O174" s="50" t="s">
        <v>106</v>
      </c>
      <c r="P174" s="50"/>
      <c r="Q174" s="50" t="s">
        <v>21</v>
      </c>
      <c r="R174" s="50" t="s">
        <v>15</v>
      </c>
      <c r="S174" s="50"/>
      <c r="T174" s="50" t="s">
        <v>397</v>
      </c>
      <c r="U174" s="50" t="s">
        <v>383</v>
      </c>
      <c r="V174" s="50" t="s">
        <v>738</v>
      </c>
      <c r="W174" s="52" t="s">
        <v>809</v>
      </c>
      <c r="X174" s="52" t="s">
        <v>712</v>
      </c>
      <c r="Y174" s="50" t="s">
        <v>717</v>
      </c>
      <c r="Z174" s="72">
        <v>0</v>
      </c>
      <c r="AA174" s="72">
        <v>0</v>
      </c>
      <c r="AB174" s="72">
        <v>0</v>
      </c>
      <c r="AC174" s="72">
        <v>0</v>
      </c>
      <c r="AD174" s="109">
        <v>0</v>
      </c>
      <c r="AE174" s="118" t="s">
        <v>1263</v>
      </c>
    </row>
    <row r="175" spans="2:31" s="57" customFormat="1" ht="40.5" x14ac:dyDescent="0.2">
      <c r="B175" s="49">
        <v>173</v>
      </c>
      <c r="C175" s="50">
        <v>3</v>
      </c>
      <c r="D175" s="50">
        <v>7500004</v>
      </c>
      <c r="E175" s="50" t="str">
        <f t="shared" si="12"/>
        <v>7500004</v>
      </c>
      <c r="F175" s="50" t="s">
        <v>449</v>
      </c>
      <c r="G175" s="52" t="s">
        <v>168</v>
      </c>
      <c r="H175" s="51" t="s">
        <v>778</v>
      </c>
      <c r="I175" s="79" t="s">
        <v>1141</v>
      </c>
      <c r="J175" s="79" t="s">
        <v>1193</v>
      </c>
      <c r="K175" s="50">
        <v>0.5</v>
      </c>
      <c r="L175" s="50">
        <v>0.5</v>
      </c>
      <c r="M175" s="50" t="s">
        <v>1074</v>
      </c>
      <c r="N175" s="52" t="s">
        <v>712</v>
      </c>
      <c r="O175" s="50" t="s">
        <v>76</v>
      </c>
      <c r="P175" s="50"/>
      <c r="Q175" s="50" t="s">
        <v>169</v>
      </c>
      <c r="R175" s="50" t="s">
        <v>15</v>
      </c>
      <c r="S175" s="50"/>
      <c r="T175" s="50" t="s">
        <v>397</v>
      </c>
      <c r="U175" s="50" t="s">
        <v>383</v>
      </c>
      <c r="V175" s="50" t="s">
        <v>721</v>
      </c>
      <c r="W175" s="52" t="s">
        <v>813</v>
      </c>
      <c r="X175" s="52" t="s">
        <v>712</v>
      </c>
      <c r="Y175" s="50" t="s">
        <v>717</v>
      </c>
      <c r="Z175" s="72">
        <v>0</v>
      </c>
      <c r="AA175" s="72">
        <v>0</v>
      </c>
      <c r="AB175" s="72">
        <v>0</v>
      </c>
      <c r="AC175" s="72">
        <v>0</v>
      </c>
      <c r="AD175" s="109">
        <v>0</v>
      </c>
      <c r="AE175" s="118"/>
    </row>
    <row r="176" spans="2:31" s="57" customFormat="1" ht="27" x14ac:dyDescent="0.2">
      <c r="B176" s="49">
        <v>174</v>
      </c>
      <c r="C176" s="50">
        <v>3</v>
      </c>
      <c r="D176" s="50">
        <v>770000693</v>
      </c>
      <c r="E176" s="50" t="str">
        <f t="shared" si="12"/>
        <v>770000693</v>
      </c>
      <c r="F176" s="50" t="s">
        <v>447</v>
      </c>
      <c r="G176" s="52" t="s">
        <v>170</v>
      </c>
      <c r="H176" s="51" t="s">
        <v>778</v>
      </c>
      <c r="I176" s="79" t="s">
        <v>1142</v>
      </c>
      <c r="J176" s="79" t="s">
        <v>1193</v>
      </c>
      <c r="K176" s="50">
        <v>3.2</v>
      </c>
      <c r="L176" s="50">
        <v>3.2</v>
      </c>
      <c r="M176" s="50" t="s">
        <v>1074</v>
      </c>
      <c r="N176" s="52" t="s">
        <v>718</v>
      </c>
      <c r="O176" s="50" t="s">
        <v>77</v>
      </c>
      <c r="P176" s="50"/>
      <c r="Q176" s="50" t="s">
        <v>171</v>
      </c>
      <c r="R176" s="50" t="s">
        <v>15</v>
      </c>
      <c r="S176" s="50"/>
      <c r="T176" s="50" t="s">
        <v>397</v>
      </c>
      <c r="U176" s="50" t="s">
        <v>383</v>
      </c>
      <c r="V176" s="50" t="s">
        <v>721</v>
      </c>
      <c r="W176" s="52" t="s">
        <v>813</v>
      </c>
      <c r="X176" s="52" t="s">
        <v>712</v>
      </c>
      <c r="Y176" s="50" t="s">
        <v>717</v>
      </c>
      <c r="Z176" s="72">
        <v>0</v>
      </c>
      <c r="AA176" s="72">
        <v>0</v>
      </c>
      <c r="AB176" s="72">
        <v>0</v>
      </c>
      <c r="AC176" s="72">
        <v>0</v>
      </c>
      <c r="AD176" s="109">
        <v>0</v>
      </c>
      <c r="AE176" s="118"/>
    </row>
    <row r="177" spans="2:31" s="57" customFormat="1" x14ac:dyDescent="0.2">
      <c r="B177" s="49">
        <v>175</v>
      </c>
      <c r="C177" s="50">
        <v>3</v>
      </c>
      <c r="D177" s="50">
        <v>8606757</v>
      </c>
      <c r="E177" s="50" t="str">
        <f t="shared" si="12"/>
        <v>8606757</v>
      </c>
      <c r="F177" s="50" t="s">
        <v>450</v>
      </c>
      <c r="G177" s="52" t="s">
        <v>173</v>
      </c>
      <c r="H177" s="51" t="s">
        <v>712</v>
      </c>
      <c r="I177" s="79" t="s">
        <v>397</v>
      </c>
      <c r="J177" s="79" t="s">
        <v>1193</v>
      </c>
      <c r="K177" s="50">
        <v>0</v>
      </c>
      <c r="L177" s="50">
        <v>0</v>
      </c>
      <c r="M177" s="50" t="s">
        <v>1081</v>
      </c>
      <c r="N177" s="52" t="s">
        <v>712</v>
      </c>
      <c r="O177" s="50" t="s">
        <v>93</v>
      </c>
      <c r="P177" s="50"/>
      <c r="Q177" s="50" t="s">
        <v>25</v>
      </c>
      <c r="R177" s="50" t="s">
        <v>38</v>
      </c>
      <c r="S177" s="50"/>
      <c r="T177" s="50" t="s">
        <v>397</v>
      </c>
      <c r="U177" s="50" t="s">
        <v>383</v>
      </c>
      <c r="V177" s="50" t="s">
        <v>712</v>
      </c>
      <c r="W177" s="52" t="s">
        <v>712</v>
      </c>
      <c r="X177" s="52" t="s">
        <v>712</v>
      </c>
      <c r="Y177" s="50" t="s">
        <v>717</v>
      </c>
      <c r="Z177" s="72">
        <v>0</v>
      </c>
      <c r="AA177" s="72">
        <v>0</v>
      </c>
      <c r="AB177" s="72">
        <v>0</v>
      </c>
      <c r="AC177" s="72">
        <v>0</v>
      </c>
      <c r="AD177" s="109">
        <v>0</v>
      </c>
      <c r="AE177" s="118"/>
    </row>
    <row r="178" spans="2:31" s="57" customFormat="1" x14ac:dyDescent="0.2">
      <c r="B178" s="49">
        <v>176</v>
      </c>
      <c r="C178" s="50">
        <v>3</v>
      </c>
      <c r="D178" s="50">
        <v>880000356</v>
      </c>
      <c r="E178" s="50" t="str">
        <f t="shared" si="12"/>
        <v>880000356</v>
      </c>
      <c r="F178" s="50" t="s">
        <v>451</v>
      </c>
      <c r="G178" s="52" t="s">
        <v>175</v>
      </c>
      <c r="H178" s="51" t="s">
        <v>712</v>
      </c>
      <c r="I178" s="79" t="s">
        <v>1193</v>
      </c>
      <c r="J178" s="79" t="s">
        <v>1193</v>
      </c>
      <c r="K178" s="50">
        <v>0</v>
      </c>
      <c r="L178" s="50">
        <v>0</v>
      </c>
      <c r="M178" s="50" t="s">
        <v>1077</v>
      </c>
      <c r="N178" s="52" t="s">
        <v>712</v>
      </c>
      <c r="O178" s="50" t="s">
        <v>96</v>
      </c>
      <c r="P178" s="50"/>
      <c r="Q178" s="50" t="s">
        <v>25</v>
      </c>
      <c r="R178" s="50" t="s">
        <v>15</v>
      </c>
      <c r="S178" s="50"/>
      <c r="T178" s="50" t="s">
        <v>397</v>
      </c>
      <c r="U178" s="50" t="s">
        <v>383</v>
      </c>
      <c r="V178" s="50" t="s">
        <v>712</v>
      </c>
      <c r="W178" s="52" t="s">
        <v>712</v>
      </c>
      <c r="X178" s="52" t="s">
        <v>712</v>
      </c>
      <c r="Y178" s="50" t="s">
        <v>717</v>
      </c>
      <c r="Z178" s="72">
        <v>0</v>
      </c>
      <c r="AA178" s="72">
        <v>0</v>
      </c>
      <c r="AB178" s="72">
        <v>0</v>
      </c>
      <c r="AC178" s="72">
        <v>0</v>
      </c>
      <c r="AD178" s="109">
        <v>0</v>
      </c>
      <c r="AE178" s="118"/>
    </row>
    <row r="179" spans="2:31" s="57" customFormat="1" x14ac:dyDescent="0.2">
      <c r="B179" s="49">
        <v>177</v>
      </c>
      <c r="C179" s="50">
        <v>3</v>
      </c>
      <c r="D179" s="50">
        <v>8800222</v>
      </c>
      <c r="E179" s="50" t="str">
        <f t="shared" si="12"/>
        <v>8800222</v>
      </c>
      <c r="F179" s="50" t="s">
        <v>452</v>
      </c>
      <c r="G179" s="52" t="s">
        <v>177</v>
      </c>
      <c r="H179" s="51" t="s">
        <v>712</v>
      </c>
      <c r="I179" s="79" t="s">
        <v>1193</v>
      </c>
      <c r="J179" s="79" t="s">
        <v>1193</v>
      </c>
      <c r="K179" s="50">
        <v>0</v>
      </c>
      <c r="L179" s="50">
        <v>0</v>
      </c>
      <c r="M179" s="50" t="s">
        <v>1082</v>
      </c>
      <c r="N179" s="52" t="s">
        <v>712</v>
      </c>
      <c r="O179" s="50" t="s">
        <v>72</v>
      </c>
      <c r="P179" s="50"/>
      <c r="Q179" s="50" t="s">
        <v>25</v>
      </c>
      <c r="R179" s="50" t="s">
        <v>38</v>
      </c>
      <c r="S179" s="50"/>
      <c r="T179" s="50" t="s">
        <v>397</v>
      </c>
      <c r="U179" s="50" t="s">
        <v>383</v>
      </c>
      <c r="V179" s="50" t="s">
        <v>712</v>
      </c>
      <c r="W179" s="52" t="s">
        <v>712</v>
      </c>
      <c r="X179" s="52" t="s">
        <v>712</v>
      </c>
      <c r="Y179" s="50" t="s">
        <v>717</v>
      </c>
      <c r="Z179" s="72">
        <v>0</v>
      </c>
      <c r="AA179" s="72">
        <v>0</v>
      </c>
      <c r="AB179" s="72">
        <v>0</v>
      </c>
      <c r="AC179" s="72">
        <v>0</v>
      </c>
      <c r="AD179" s="109">
        <v>0</v>
      </c>
      <c r="AE179" s="118"/>
    </row>
    <row r="180" spans="2:31" s="57" customFormat="1" x14ac:dyDescent="0.2">
      <c r="B180" s="19">
        <v>178</v>
      </c>
      <c r="C180" s="18">
        <v>2</v>
      </c>
      <c r="D180" s="18">
        <v>160214126</v>
      </c>
      <c r="E180" s="18" t="str">
        <f t="shared" si="12"/>
        <v>160214126</v>
      </c>
      <c r="F180" s="26" t="s">
        <v>437</v>
      </c>
      <c r="G180" s="56" t="s">
        <v>178</v>
      </c>
      <c r="H180" s="55" t="s">
        <v>1140</v>
      </c>
      <c r="I180" s="76" t="s">
        <v>1137</v>
      </c>
      <c r="J180" s="76" t="s">
        <v>1193</v>
      </c>
      <c r="K180" s="18">
        <v>1</v>
      </c>
      <c r="L180" s="18">
        <v>1</v>
      </c>
      <c r="M180" s="18" t="s">
        <v>1095</v>
      </c>
      <c r="N180" s="56" t="s">
        <v>712</v>
      </c>
      <c r="O180" s="18" t="s">
        <v>14</v>
      </c>
      <c r="P180" s="18"/>
      <c r="Q180" s="18" t="s">
        <v>21</v>
      </c>
      <c r="R180" s="18" t="s">
        <v>38</v>
      </c>
      <c r="S180" s="18"/>
      <c r="T180" s="18" t="s">
        <v>393</v>
      </c>
      <c r="U180" s="18" t="s">
        <v>400</v>
      </c>
      <c r="V180" s="18" t="s">
        <v>721</v>
      </c>
      <c r="W180" s="56" t="s">
        <v>810</v>
      </c>
      <c r="X180" s="56" t="s">
        <v>751</v>
      </c>
      <c r="Y180" s="18" t="s">
        <v>843</v>
      </c>
      <c r="Z180" s="73">
        <v>1452363.5</v>
      </c>
      <c r="AA180" s="73">
        <v>1099</v>
      </c>
      <c r="AB180" s="73">
        <v>1593550</v>
      </c>
      <c r="AC180" s="73">
        <v>1099</v>
      </c>
      <c r="AD180" s="110">
        <f>($Y$1*$AC180)*$K180</f>
        <v>1490244</v>
      </c>
      <c r="AE180" s="118"/>
    </row>
    <row r="181" spans="2:31" s="57" customFormat="1" x14ac:dyDescent="0.2">
      <c r="B181" s="49">
        <v>179</v>
      </c>
      <c r="C181" s="50">
        <v>3</v>
      </c>
      <c r="D181" s="50">
        <v>4501115</v>
      </c>
      <c r="E181" s="50" t="str">
        <f t="shared" si="12"/>
        <v>4501115</v>
      </c>
      <c r="F181" s="50" t="s">
        <v>432</v>
      </c>
      <c r="G181" s="52" t="s">
        <v>179</v>
      </c>
      <c r="H181" s="51" t="s">
        <v>747</v>
      </c>
      <c r="I181" s="79" t="s">
        <v>1143</v>
      </c>
      <c r="J181" s="79" t="s">
        <v>1193</v>
      </c>
      <c r="K181" s="50">
        <v>4</v>
      </c>
      <c r="L181" s="50">
        <v>4</v>
      </c>
      <c r="M181" s="50" t="s">
        <v>1074</v>
      </c>
      <c r="N181" s="52" t="s">
        <v>720</v>
      </c>
      <c r="O181" s="50" t="s">
        <v>14</v>
      </c>
      <c r="P181" s="50"/>
      <c r="Q181" s="50" t="s">
        <v>55</v>
      </c>
      <c r="R181" s="50" t="s">
        <v>15</v>
      </c>
      <c r="S181" s="50"/>
      <c r="T181" s="50" t="s">
        <v>397</v>
      </c>
      <c r="U181" s="50" t="s">
        <v>383</v>
      </c>
      <c r="V181" s="50" t="s">
        <v>793</v>
      </c>
      <c r="W181" s="52" t="s">
        <v>814</v>
      </c>
      <c r="X181" s="52" t="s">
        <v>712</v>
      </c>
      <c r="Y181" s="50" t="s">
        <v>717</v>
      </c>
      <c r="Z181" s="72">
        <v>0</v>
      </c>
      <c r="AA181" s="72">
        <v>0</v>
      </c>
      <c r="AB181" s="72">
        <v>0</v>
      </c>
      <c r="AC181" s="72">
        <v>0</v>
      </c>
      <c r="AD181" s="109">
        <v>0</v>
      </c>
      <c r="AE181" s="118"/>
    </row>
    <row r="182" spans="2:31" s="57" customFormat="1" ht="27" x14ac:dyDescent="0.2">
      <c r="B182" s="49">
        <v>180</v>
      </c>
      <c r="C182" s="50">
        <v>3</v>
      </c>
      <c r="D182" s="50">
        <v>4501116</v>
      </c>
      <c r="E182" s="50" t="str">
        <f t="shared" si="12"/>
        <v>4501116</v>
      </c>
      <c r="F182" s="50" t="s">
        <v>418</v>
      </c>
      <c r="G182" s="52" t="s">
        <v>52</v>
      </c>
      <c r="H182" s="51" t="s">
        <v>712</v>
      </c>
      <c r="I182" s="79" t="s">
        <v>1194</v>
      </c>
      <c r="J182" s="79" t="s">
        <v>1193</v>
      </c>
      <c r="K182" s="50">
        <v>4</v>
      </c>
      <c r="L182" s="50">
        <v>4</v>
      </c>
      <c r="M182" s="50" t="s">
        <v>1074</v>
      </c>
      <c r="N182" s="52" t="s">
        <v>712</v>
      </c>
      <c r="O182" s="50" t="s">
        <v>14</v>
      </c>
      <c r="P182" s="50"/>
      <c r="Q182" s="50" t="s">
        <v>55</v>
      </c>
      <c r="R182" s="50" t="s">
        <v>15</v>
      </c>
      <c r="S182" s="50"/>
      <c r="T182" s="50" t="s">
        <v>397</v>
      </c>
      <c r="U182" s="50" t="s">
        <v>383</v>
      </c>
      <c r="V182" s="20" t="s">
        <v>722</v>
      </c>
      <c r="W182" s="52" t="s">
        <v>815</v>
      </c>
      <c r="X182" s="52" t="s">
        <v>751</v>
      </c>
      <c r="Y182" s="50" t="s">
        <v>717</v>
      </c>
      <c r="Z182" s="72">
        <v>0</v>
      </c>
      <c r="AA182" s="72">
        <v>75</v>
      </c>
      <c r="AB182" s="72">
        <v>0</v>
      </c>
      <c r="AC182" s="72">
        <v>75</v>
      </c>
      <c r="AD182" s="109">
        <v>0</v>
      </c>
      <c r="AE182" s="118"/>
    </row>
    <row r="183" spans="2:31" s="57" customFormat="1" ht="40.5" x14ac:dyDescent="0.2">
      <c r="B183" s="49">
        <v>181</v>
      </c>
      <c r="C183" s="50">
        <v>3</v>
      </c>
      <c r="D183" s="50">
        <v>5000471</v>
      </c>
      <c r="E183" s="50" t="str">
        <f t="shared" si="12"/>
        <v>5000471</v>
      </c>
      <c r="F183" s="50" t="s">
        <v>453</v>
      </c>
      <c r="G183" s="52" t="s">
        <v>181</v>
      </c>
      <c r="H183" s="51" t="s">
        <v>774</v>
      </c>
      <c r="I183" s="79" t="s">
        <v>887</v>
      </c>
      <c r="J183" s="79" t="s">
        <v>1193</v>
      </c>
      <c r="K183" s="50">
        <v>0</v>
      </c>
      <c r="L183" s="50">
        <v>0</v>
      </c>
      <c r="M183" s="50" t="s">
        <v>1076</v>
      </c>
      <c r="N183" s="52" t="s">
        <v>720</v>
      </c>
      <c r="O183" s="50" t="s">
        <v>14</v>
      </c>
      <c r="P183" s="50"/>
      <c r="Q183" s="50" t="s">
        <v>25</v>
      </c>
      <c r="R183" s="50" t="s">
        <v>15</v>
      </c>
      <c r="S183" s="50"/>
      <c r="T183" s="50" t="s">
        <v>397</v>
      </c>
      <c r="U183" s="50" t="s">
        <v>383</v>
      </c>
      <c r="V183" s="50" t="s">
        <v>1245</v>
      </c>
      <c r="W183" s="52" t="s">
        <v>811</v>
      </c>
      <c r="X183" s="52" t="s">
        <v>712</v>
      </c>
      <c r="Y183" s="50" t="s">
        <v>717</v>
      </c>
      <c r="Z183" s="72">
        <v>0</v>
      </c>
      <c r="AA183" s="72">
        <v>0</v>
      </c>
      <c r="AB183" s="72">
        <v>0</v>
      </c>
      <c r="AC183" s="72">
        <v>0</v>
      </c>
      <c r="AD183" s="109">
        <v>0</v>
      </c>
      <c r="AE183" s="118"/>
    </row>
    <row r="184" spans="2:31" s="57" customFormat="1" ht="27" x14ac:dyDescent="0.2">
      <c r="B184" s="49">
        <v>182</v>
      </c>
      <c r="C184" s="50">
        <v>3</v>
      </c>
      <c r="D184" s="50">
        <v>510000193</v>
      </c>
      <c r="E184" s="50" t="str">
        <f t="shared" si="12"/>
        <v>510000193</v>
      </c>
      <c r="F184" s="50" t="s">
        <v>418</v>
      </c>
      <c r="G184" s="52" t="s">
        <v>182</v>
      </c>
      <c r="H184" s="51" t="s">
        <v>1100</v>
      </c>
      <c r="I184" s="79" t="s">
        <v>914</v>
      </c>
      <c r="J184" s="79" t="s">
        <v>1193</v>
      </c>
      <c r="K184" s="50">
        <v>1</v>
      </c>
      <c r="L184" s="50">
        <v>1</v>
      </c>
      <c r="M184" s="50" t="s">
        <v>1074</v>
      </c>
      <c r="N184" s="52" t="s">
        <v>712</v>
      </c>
      <c r="O184" s="50" t="s">
        <v>14</v>
      </c>
      <c r="P184" s="50"/>
      <c r="Q184" s="50" t="s">
        <v>21</v>
      </c>
      <c r="R184" s="50" t="s">
        <v>15</v>
      </c>
      <c r="S184" s="50"/>
      <c r="T184" s="50" t="s">
        <v>397</v>
      </c>
      <c r="U184" s="50" t="s">
        <v>383</v>
      </c>
      <c r="V184" s="50" t="s">
        <v>793</v>
      </c>
      <c r="W184" s="52" t="s">
        <v>816</v>
      </c>
      <c r="X184" s="52" t="s">
        <v>712</v>
      </c>
      <c r="Y184" s="50" t="s">
        <v>717</v>
      </c>
      <c r="Z184" s="72">
        <v>0</v>
      </c>
      <c r="AA184" s="72">
        <v>0</v>
      </c>
      <c r="AB184" s="72">
        <v>0</v>
      </c>
      <c r="AC184" s="72">
        <v>0</v>
      </c>
      <c r="AD184" s="109">
        <v>0</v>
      </c>
      <c r="AE184" s="118"/>
    </row>
    <row r="185" spans="2:31" s="57" customFormat="1" ht="27" x14ac:dyDescent="0.2">
      <c r="B185" s="49">
        <v>183</v>
      </c>
      <c r="C185" s="50">
        <v>3</v>
      </c>
      <c r="D185" s="50">
        <v>510002465</v>
      </c>
      <c r="E185" s="50" t="str">
        <f t="shared" si="12"/>
        <v>510002465</v>
      </c>
      <c r="F185" s="50" t="s">
        <v>454</v>
      </c>
      <c r="G185" s="52" t="s">
        <v>184</v>
      </c>
      <c r="H185" s="51" t="s">
        <v>782</v>
      </c>
      <c r="I185" s="79" t="s">
        <v>1144</v>
      </c>
      <c r="J185" s="79" t="s">
        <v>1193</v>
      </c>
      <c r="K185" s="50">
        <v>2</v>
      </c>
      <c r="L185" s="50">
        <v>2</v>
      </c>
      <c r="M185" s="50" t="s">
        <v>1074</v>
      </c>
      <c r="N185" s="52" t="s">
        <v>712</v>
      </c>
      <c r="O185" s="50" t="s">
        <v>14</v>
      </c>
      <c r="P185" s="50"/>
      <c r="Q185" s="50" t="s">
        <v>18</v>
      </c>
      <c r="R185" s="50" t="s">
        <v>15</v>
      </c>
      <c r="S185" s="50"/>
      <c r="T185" s="50" t="s">
        <v>397</v>
      </c>
      <c r="U185" s="50" t="s">
        <v>383</v>
      </c>
      <c r="V185" s="50" t="s">
        <v>1244</v>
      </c>
      <c r="W185" s="52" t="s">
        <v>806</v>
      </c>
      <c r="X185" s="52" t="s">
        <v>712</v>
      </c>
      <c r="Y185" s="50" t="s">
        <v>717</v>
      </c>
      <c r="Z185" s="72">
        <v>0</v>
      </c>
      <c r="AA185" s="72">
        <v>0</v>
      </c>
      <c r="AB185" s="72">
        <v>0</v>
      </c>
      <c r="AC185" s="72">
        <v>0</v>
      </c>
      <c r="AD185" s="109">
        <v>0</v>
      </c>
      <c r="AE185" s="118"/>
    </row>
    <row r="186" spans="2:31" s="57" customFormat="1" x14ac:dyDescent="0.2">
      <c r="B186" s="49">
        <v>184</v>
      </c>
      <c r="C186" s="50">
        <v>3</v>
      </c>
      <c r="D186" s="50">
        <v>5101288</v>
      </c>
      <c r="E186" s="50" t="str">
        <f t="shared" si="12"/>
        <v>5101288</v>
      </c>
      <c r="F186" s="50" t="s">
        <v>455</v>
      </c>
      <c r="G186" s="52" t="s">
        <v>185</v>
      </c>
      <c r="H186" s="51" t="s">
        <v>1100</v>
      </c>
      <c r="I186" s="79" t="s">
        <v>1145</v>
      </c>
      <c r="J186" s="79" t="s">
        <v>1193</v>
      </c>
      <c r="K186" s="50">
        <v>1</v>
      </c>
      <c r="L186" s="50">
        <v>1</v>
      </c>
      <c r="M186" s="50" t="s">
        <v>1074</v>
      </c>
      <c r="N186" s="52" t="s">
        <v>712</v>
      </c>
      <c r="O186" s="50" t="s">
        <v>14</v>
      </c>
      <c r="P186" s="50"/>
      <c r="Q186" s="50" t="s">
        <v>21</v>
      </c>
      <c r="R186" s="50" t="s">
        <v>15</v>
      </c>
      <c r="S186" s="50"/>
      <c r="T186" s="50" t="s">
        <v>397</v>
      </c>
      <c r="U186" s="50" t="s">
        <v>383</v>
      </c>
      <c r="V186" s="50" t="s">
        <v>793</v>
      </c>
      <c r="W186" s="52" t="s">
        <v>816</v>
      </c>
      <c r="X186" s="52" t="s">
        <v>712</v>
      </c>
      <c r="Y186" s="50" t="s">
        <v>717</v>
      </c>
      <c r="Z186" s="72">
        <v>0</v>
      </c>
      <c r="AA186" s="72">
        <v>0</v>
      </c>
      <c r="AB186" s="72">
        <v>0</v>
      </c>
      <c r="AC186" s="72">
        <v>0</v>
      </c>
      <c r="AD186" s="109">
        <v>0</v>
      </c>
      <c r="AE186" s="118"/>
    </row>
    <row r="187" spans="2:31" s="57" customFormat="1" x14ac:dyDescent="0.2">
      <c r="B187" s="49">
        <v>185</v>
      </c>
      <c r="C187" s="50">
        <v>3</v>
      </c>
      <c r="D187" s="50">
        <v>5101290</v>
      </c>
      <c r="E187" s="50" t="str">
        <f t="shared" si="12"/>
        <v>5101290</v>
      </c>
      <c r="F187" s="50" t="s">
        <v>456</v>
      </c>
      <c r="G187" s="52" t="s">
        <v>187</v>
      </c>
      <c r="H187" s="51" t="s">
        <v>1100</v>
      </c>
      <c r="I187" s="79" t="s">
        <v>1146</v>
      </c>
      <c r="J187" s="79" t="s">
        <v>1193</v>
      </c>
      <c r="K187" s="50">
        <v>1</v>
      </c>
      <c r="L187" s="50">
        <v>1</v>
      </c>
      <c r="M187" s="50" t="s">
        <v>1074</v>
      </c>
      <c r="N187" s="52" t="s">
        <v>712</v>
      </c>
      <c r="O187" s="50" t="s">
        <v>14</v>
      </c>
      <c r="P187" s="50"/>
      <c r="Q187" s="50" t="s">
        <v>21</v>
      </c>
      <c r="R187" s="50" t="s">
        <v>15</v>
      </c>
      <c r="S187" s="50"/>
      <c r="T187" s="50" t="s">
        <v>397</v>
      </c>
      <c r="U187" s="50" t="s">
        <v>383</v>
      </c>
      <c r="V187" s="50" t="s">
        <v>793</v>
      </c>
      <c r="W187" s="52" t="s">
        <v>816</v>
      </c>
      <c r="X187" s="52" t="s">
        <v>712</v>
      </c>
      <c r="Y187" s="50" t="s">
        <v>717</v>
      </c>
      <c r="Z187" s="72">
        <v>0</v>
      </c>
      <c r="AA187" s="72">
        <v>0</v>
      </c>
      <c r="AB187" s="72">
        <v>0</v>
      </c>
      <c r="AC187" s="72">
        <v>0</v>
      </c>
      <c r="AD187" s="109">
        <v>0</v>
      </c>
      <c r="AE187" s="118"/>
    </row>
    <row r="188" spans="2:31" s="57" customFormat="1" x14ac:dyDescent="0.2">
      <c r="B188" s="49">
        <v>186</v>
      </c>
      <c r="C188" s="50">
        <v>3</v>
      </c>
      <c r="D188" s="50">
        <v>5101521</v>
      </c>
      <c r="E188" s="50" t="str">
        <f t="shared" si="12"/>
        <v>5101521</v>
      </c>
      <c r="F188" s="50" t="s">
        <v>440</v>
      </c>
      <c r="G188" s="52" t="s">
        <v>189</v>
      </c>
      <c r="H188" s="51" t="s">
        <v>1100</v>
      </c>
      <c r="I188" s="79" t="s">
        <v>1147</v>
      </c>
      <c r="J188" s="79" t="s">
        <v>1193</v>
      </c>
      <c r="K188" s="50">
        <v>8</v>
      </c>
      <c r="L188" s="50">
        <v>8</v>
      </c>
      <c r="M188" s="50" t="s">
        <v>1074</v>
      </c>
      <c r="N188" s="52" t="s">
        <v>718</v>
      </c>
      <c r="O188" s="50" t="s">
        <v>14</v>
      </c>
      <c r="P188" s="50"/>
      <c r="Q188" s="50" t="s">
        <v>132</v>
      </c>
      <c r="R188" s="50" t="s">
        <v>15</v>
      </c>
      <c r="S188" s="50"/>
      <c r="T188" s="50" t="s">
        <v>397</v>
      </c>
      <c r="U188" s="50" t="s">
        <v>383</v>
      </c>
      <c r="V188" s="50" t="s">
        <v>793</v>
      </c>
      <c r="W188" s="52" t="s">
        <v>816</v>
      </c>
      <c r="X188" s="52" t="s">
        <v>712</v>
      </c>
      <c r="Y188" s="50" t="s">
        <v>717</v>
      </c>
      <c r="Z188" s="72">
        <v>0</v>
      </c>
      <c r="AA188" s="72">
        <v>0</v>
      </c>
      <c r="AB188" s="72">
        <v>0</v>
      </c>
      <c r="AC188" s="72">
        <v>0</v>
      </c>
      <c r="AD188" s="109">
        <v>0</v>
      </c>
      <c r="AE188" s="118"/>
    </row>
    <row r="189" spans="2:31" s="57" customFormat="1" x14ac:dyDescent="0.2">
      <c r="B189" s="49">
        <v>187</v>
      </c>
      <c r="C189" s="50">
        <v>3</v>
      </c>
      <c r="D189" s="50">
        <v>5101522</v>
      </c>
      <c r="E189" s="50" t="str">
        <f t="shared" si="12"/>
        <v>5101522</v>
      </c>
      <c r="F189" s="50" t="s">
        <v>421</v>
      </c>
      <c r="G189" s="52" t="s">
        <v>59</v>
      </c>
      <c r="H189" s="51" t="s">
        <v>1100</v>
      </c>
      <c r="I189" s="79" t="s">
        <v>1098</v>
      </c>
      <c r="J189" s="79" t="s">
        <v>1193</v>
      </c>
      <c r="K189" s="50">
        <v>5</v>
      </c>
      <c r="L189" s="50">
        <v>5</v>
      </c>
      <c r="M189" s="50" t="s">
        <v>1074</v>
      </c>
      <c r="N189" s="52" t="s">
        <v>718</v>
      </c>
      <c r="O189" s="50" t="s">
        <v>14</v>
      </c>
      <c r="P189" s="50"/>
      <c r="Q189" s="50" t="s">
        <v>190</v>
      </c>
      <c r="R189" s="50" t="s">
        <v>15</v>
      </c>
      <c r="S189" s="50"/>
      <c r="T189" s="50" t="s">
        <v>397</v>
      </c>
      <c r="U189" s="50" t="s">
        <v>383</v>
      </c>
      <c r="V189" s="50" t="s">
        <v>793</v>
      </c>
      <c r="W189" s="52" t="s">
        <v>816</v>
      </c>
      <c r="X189" s="52" t="s">
        <v>751</v>
      </c>
      <c r="Y189" s="50" t="s">
        <v>717</v>
      </c>
      <c r="Z189" s="72">
        <v>0</v>
      </c>
      <c r="AA189" s="72">
        <v>120</v>
      </c>
      <c r="AB189" s="72">
        <v>0</v>
      </c>
      <c r="AC189" s="72">
        <v>120</v>
      </c>
      <c r="AD189" s="109">
        <v>0</v>
      </c>
      <c r="AE189" s="118"/>
    </row>
    <row r="190" spans="2:31" s="57" customFormat="1" x14ac:dyDescent="0.2">
      <c r="B190" s="49">
        <v>188</v>
      </c>
      <c r="C190" s="50">
        <v>3</v>
      </c>
      <c r="D190" s="50">
        <v>5101787</v>
      </c>
      <c r="E190" s="50" t="str">
        <f t="shared" si="12"/>
        <v>5101787</v>
      </c>
      <c r="F190" s="50" t="s">
        <v>456</v>
      </c>
      <c r="G190" s="52" t="s">
        <v>191</v>
      </c>
      <c r="H190" s="51" t="s">
        <v>1100</v>
      </c>
      <c r="I190" s="79" t="s">
        <v>1148</v>
      </c>
      <c r="J190" s="79" t="s">
        <v>1193</v>
      </c>
      <c r="K190" s="50">
        <v>2</v>
      </c>
      <c r="L190" s="50">
        <v>2</v>
      </c>
      <c r="M190" s="50" t="s">
        <v>1074</v>
      </c>
      <c r="N190" s="52" t="s">
        <v>712</v>
      </c>
      <c r="O190" s="50" t="s">
        <v>14</v>
      </c>
      <c r="P190" s="50"/>
      <c r="Q190" s="50" t="s">
        <v>18</v>
      </c>
      <c r="R190" s="50" t="s">
        <v>15</v>
      </c>
      <c r="S190" s="50"/>
      <c r="T190" s="50" t="s">
        <v>397</v>
      </c>
      <c r="U190" s="50" t="s">
        <v>383</v>
      </c>
      <c r="V190" s="50" t="s">
        <v>793</v>
      </c>
      <c r="W190" s="52" t="s">
        <v>816</v>
      </c>
      <c r="X190" s="52" t="s">
        <v>712</v>
      </c>
      <c r="Y190" s="50" t="s">
        <v>717</v>
      </c>
      <c r="Z190" s="72">
        <v>0</v>
      </c>
      <c r="AA190" s="72">
        <v>0</v>
      </c>
      <c r="AB190" s="72">
        <v>0</v>
      </c>
      <c r="AC190" s="72">
        <v>0</v>
      </c>
      <c r="AD190" s="109">
        <v>0</v>
      </c>
      <c r="AE190" s="118"/>
    </row>
    <row r="191" spans="2:31" s="57" customFormat="1" x14ac:dyDescent="0.2">
      <c r="B191" s="49">
        <v>189</v>
      </c>
      <c r="C191" s="50">
        <v>3</v>
      </c>
      <c r="D191" s="50">
        <v>5101788</v>
      </c>
      <c r="E191" s="50" t="str">
        <f t="shared" si="12"/>
        <v>5101788</v>
      </c>
      <c r="F191" s="50" t="s">
        <v>454</v>
      </c>
      <c r="G191" s="52" t="s">
        <v>192</v>
      </c>
      <c r="H191" s="51" t="s">
        <v>1100</v>
      </c>
      <c r="I191" s="79" t="s">
        <v>1215</v>
      </c>
      <c r="J191" s="79" t="s">
        <v>1193</v>
      </c>
      <c r="K191" s="50">
        <v>2</v>
      </c>
      <c r="L191" s="50">
        <v>2</v>
      </c>
      <c r="M191" s="50" t="s">
        <v>1074</v>
      </c>
      <c r="N191" s="52" t="s">
        <v>718</v>
      </c>
      <c r="O191" s="50" t="s">
        <v>14</v>
      </c>
      <c r="P191" s="50"/>
      <c r="Q191" s="50" t="s">
        <v>18</v>
      </c>
      <c r="R191" s="50" t="s">
        <v>38</v>
      </c>
      <c r="S191" s="50"/>
      <c r="T191" s="50" t="s">
        <v>397</v>
      </c>
      <c r="U191" s="50" t="s">
        <v>383</v>
      </c>
      <c r="V191" s="50" t="s">
        <v>793</v>
      </c>
      <c r="W191" s="52" t="s">
        <v>816</v>
      </c>
      <c r="X191" s="52" t="s">
        <v>712</v>
      </c>
      <c r="Y191" s="50" t="s">
        <v>717</v>
      </c>
      <c r="Z191" s="72">
        <v>0</v>
      </c>
      <c r="AA191" s="72">
        <v>0</v>
      </c>
      <c r="AB191" s="72">
        <v>0</v>
      </c>
      <c r="AC191" s="72">
        <v>0</v>
      </c>
      <c r="AD191" s="109">
        <v>0</v>
      </c>
      <c r="AE191" s="118"/>
    </row>
    <row r="192" spans="2:31" s="57" customFormat="1" x14ac:dyDescent="0.2">
      <c r="B192" s="49">
        <v>190</v>
      </c>
      <c r="C192" s="50">
        <v>3</v>
      </c>
      <c r="D192" s="50">
        <v>5101967</v>
      </c>
      <c r="E192" s="50" t="str">
        <f t="shared" si="12"/>
        <v>5101967</v>
      </c>
      <c r="F192" s="50" t="s">
        <v>422</v>
      </c>
      <c r="G192" s="52" t="s">
        <v>61</v>
      </c>
      <c r="H192" s="51" t="s">
        <v>786</v>
      </c>
      <c r="I192" s="79" t="s">
        <v>1217</v>
      </c>
      <c r="J192" s="79" t="s">
        <v>1193</v>
      </c>
      <c r="K192" s="50">
        <v>4</v>
      </c>
      <c r="L192" s="50">
        <v>4</v>
      </c>
      <c r="M192" s="50" t="s">
        <v>1074</v>
      </c>
      <c r="N192" s="52" t="s">
        <v>712</v>
      </c>
      <c r="O192" s="50" t="s">
        <v>14</v>
      </c>
      <c r="P192" s="50"/>
      <c r="Q192" s="50" t="s">
        <v>55</v>
      </c>
      <c r="R192" s="50" t="s">
        <v>15</v>
      </c>
      <c r="S192" s="50"/>
      <c r="T192" s="50" t="s">
        <v>397</v>
      </c>
      <c r="U192" s="50" t="s">
        <v>383</v>
      </c>
      <c r="V192" s="50" t="s">
        <v>793</v>
      </c>
      <c r="W192" s="52" t="s">
        <v>816</v>
      </c>
      <c r="X192" s="52" t="s">
        <v>753</v>
      </c>
      <c r="Y192" s="50" t="s">
        <v>717</v>
      </c>
      <c r="Z192" s="72">
        <v>0</v>
      </c>
      <c r="AA192" s="72">
        <v>2800</v>
      </c>
      <c r="AB192" s="72">
        <v>0</v>
      </c>
      <c r="AC192" s="72">
        <v>2800</v>
      </c>
      <c r="AD192" s="109">
        <v>0</v>
      </c>
      <c r="AE192" s="118"/>
    </row>
    <row r="193" spans="2:31" s="57" customFormat="1" x14ac:dyDescent="0.2">
      <c r="B193" s="49">
        <v>191</v>
      </c>
      <c r="C193" s="50">
        <v>3</v>
      </c>
      <c r="D193" s="50">
        <v>5101968</v>
      </c>
      <c r="E193" s="50" t="str">
        <f t="shared" si="12"/>
        <v>5101968</v>
      </c>
      <c r="F193" s="50" t="s">
        <v>422</v>
      </c>
      <c r="G193" s="52" t="s">
        <v>193</v>
      </c>
      <c r="H193" s="51" t="s">
        <v>786</v>
      </c>
      <c r="I193" s="79" t="s">
        <v>1149</v>
      </c>
      <c r="J193" s="79" t="s">
        <v>1193</v>
      </c>
      <c r="K193" s="50">
        <v>4</v>
      </c>
      <c r="L193" s="50">
        <v>4</v>
      </c>
      <c r="M193" s="50" t="s">
        <v>1074</v>
      </c>
      <c r="N193" s="52" t="s">
        <v>712</v>
      </c>
      <c r="O193" s="50" t="s">
        <v>14</v>
      </c>
      <c r="P193" s="50"/>
      <c r="Q193" s="50" t="s">
        <v>55</v>
      </c>
      <c r="R193" s="50" t="s">
        <v>15</v>
      </c>
      <c r="S193" s="50"/>
      <c r="T193" s="50" t="s">
        <v>397</v>
      </c>
      <c r="U193" s="50" t="s">
        <v>383</v>
      </c>
      <c r="V193" s="50" t="s">
        <v>793</v>
      </c>
      <c r="W193" s="52" t="s">
        <v>816</v>
      </c>
      <c r="X193" s="52" t="s">
        <v>712</v>
      </c>
      <c r="Y193" s="50" t="s">
        <v>717</v>
      </c>
      <c r="Z193" s="72">
        <v>0</v>
      </c>
      <c r="AA193" s="72">
        <v>0</v>
      </c>
      <c r="AB193" s="72">
        <v>0</v>
      </c>
      <c r="AC193" s="72">
        <v>0</v>
      </c>
      <c r="AD193" s="109">
        <v>0</v>
      </c>
      <c r="AE193" s="118"/>
    </row>
    <row r="194" spans="2:31" s="57" customFormat="1" x14ac:dyDescent="0.2">
      <c r="B194" s="49">
        <v>192</v>
      </c>
      <c r="C194" s="50">
        <v>3</v>
      </c>
      <c r="D194" s="50">
        <v>5102016</v>
      </c>
      <c r="E194" s="50" t="str">
        <f t="shared" si="12"/>
        <v>5102016</v>
      </c>
      <c r="F194" s="50" t="s">
        <v>418</v>
      </c>
      <c r="G194" s="52" t="s">
        <v>194</v>
      </c>
      <c r="H194" s="51" t="s">
        <v>786</v>
      </c>
      <c r="I194" s="79" t="s">
        <v>1150</v>
      </c>
      <c r="J194" s="79" t="s">
        <v>1193</v>
      </c>
      <c r="K194" s="50">
        <v>2</v>
      </c>
      <c r="L194" s="50">
        <v>2</v>
      </c>
      <c r="M194" s="50" t="s">
        <v>1074</v>
      </c>
      <c r="N194" s="52" t="s">
        <v>712</v>
      </c>
      <c r="O194" s="50" t="s">
        <v>14</v>
      </c>
      <c r="P194" s="50"/>
      <c r="Q194" s="50" t="s">
        <v>18</v>
      </c>
      <c r="R194" s="50" t="s">
        <v>15</v>
      </c>
      <c r="S194" s="50"/>
      <c r="T194" s="50" t="s">
        <v>397</v>
      </c>
      <c r="U194" s="50" t="s">
        <v>383</v>
      </c>
      <c r="V194" s="50" t="s">
        <v>793</v>
      </c>
      <c r="W194" s="52" t="s">
        <v>816</v>
      </c>
      <c r="X194" s="52" t="s">
        <v>712</v>
      </c>
      <c r="Y194" s="50" t="s">
        <v>717</v>
      </c>
      <c r="Z194" s="72">
        <v>0</v>
      </c>
      <c r="AA194" s="72">
        <v>0</v>
      </c>
      <c r="AB194" s="72">
        <v>0</v>
      </c>
      <c r="AC194" s="72">
        <v>0</v>
      </c>
      <c r="AD194" s="109">
        <v>0</v>
      </c>
      <c r="AE194" s="118"/>
    </row>
    <row r="195" spans="2:31" s="57" customFormat="1" x14ac:dyDescent="0.2">
      <c r="B195" s="49">
        <v>193</v>
      </c>
      <c r="C195" s="50">
        <v>3</v>
      </c>
      <c r="D195" s="50">
        <v>5102165</v>
      </c>
      <c r="E195" s="50" t="str">
        <f t="shared" si="12"/>
        <v>5102165</v>
      </c>
      <c r="F195" s="50" t="s">
        <v>440</v>
      </c>
      <c r="G195" s="52" t="s">
        <v>195</v>
      </c>
      <c r="H195" s="51" t="s">
        <v>1100</v>
      </c>
      <c r="I195" s="79" t="s">
        <v>1151</v>
      </c>
      <c r="J195" s="79" t="s">
        <v>1193</v>
      </c>
      <c r="K195" s="50">
        <v>58</v>
      </c>
      <c r="L195" s="50">
        <v>58</v>
      </c>
      <c r="M195" s="50" t="s">
        <v>1074</v>
      </c>
      <c r="N195" s="52" t="s">
        <v>718</v>
      </c>
      <c r="O195" s="50" t="s">
        <v>14</v>
      </c>
      <c r="P195" s="50"/>
      <c r="Q195" s="50" t="s">
        <v>196</v>
      </c>
      <c r="R195" s="50" t="s">
        <v>15</v>
      </c>
      <c r="S195" s="50"/>
      <c r="T195" s="50" t="s">
        <v>397</v>
      </c>
      <c r="U195" s="50" t="s">
        <v>383</v>
      </c>
      <c r="V195" s="50" t="s">
        <v>793</v>
      </c>
      <c r="W195" s="52" t="s">
        <v>816</v>
      </c>
      <c r="X195" s="52" t="s">
        <v>712</v>
      </c>
      <c r="Y195" s="50" t="s">
        <v>717</v>
      </c>
      <c r="Z195" s="72">
        <v>0</v>
      </c>
      <c r="AA195" s="72">
        <v>0</v>
      </c>
      <c r="AB195" s="72">
        <v>0</v>
      </c>
      <c r="AC195" s="72">
        <v>0</v>
      </c>
      <c r="AD195" s="109">
        <v>0</v>
      </c>
      <c r="AE195" s="118"/>
    </row>
    <row r="196" spans="2:31" s="57" customFormat="1" x14ac:dyDescent="0.2">
      <c r="B196" s="49">
        <v>194</v>
      </c>
      <c r="C196" s="50">
        <v>3</v>
      </c>
      <c r="D196" s="50">
        <v>5102425</v>
      </c>
      <c r="E196" s="50" t="str">
        <f t="shared" si="12"/>
        <v>5102425</v>
      </c>
      <c r="F196" s="50" t="s">
        <v>432</v>
      </c>
      <c r="G196" s="52" t="s">
        <v>197</v>
      </c>
      <c r="H196" s="51" t="s">
        <v>1100</v>
      </c>
      <c r="I196" s="79" t="s">
        <v>1152</v>
      </c>
      <c r="J196" s="79" t="s">
        <v>1193</v>
      </c>
      <c r="K196" s="50">
        <v>1</v>
      </c>
      <c r="L196" s="50">
        <v>1</v>
      </c>
      <c r="M196" s="50" t="s">
        <v>1074</v>
      </c>
      <c r="N196" s="52" t="s">
        <v>718</v>
      </c>
      <c r="O196" s="50" t="s">
        <v>14</v>
      </c>
      <c r="P196" s="50"/>
      <c r="Q196" s="50" t="s">
        <v>21</v>
      </c>
      <c r="R196" s="50" t="s">
        <v>15</v>
      </c>
      <c r="S196" s="50"/>
      <c r="T196" s="50" t="s">
        <v>397</v>
      </c>
      <c r="U196" s="50" t="s">
        <v>383</v>
      </c>
      <c r="V196" s="50" t="s">
        <v>793</v>
      </c>
      <c r="W196" s="52" t="s">
        <v>816</v>
      </c>
      <c r="X196" s="52" t="s">
        <v>712</v>
      </c>
      <c r="Y196" s="50" t="s">
        <v>717</v>
      </c>
      <c r="Z196" s="72">
        <v>0</v>
      </c>
      <c r="AA196" s="72">
        <v>0</v>
      </c>
      <c r="AB196" s="72">
        <v>0</v>
      </c>
      <c r="AC196" s="72">
        <v>0</v>
      </c>
      <c r="AD196" s="109">
        <v>0</v>
      </c>
      <c r="AE196" s="118"/>
    </row>
    <row r="197" spans="2:31" s="57" customFormat="1" x14ac:dyDescent="0.2">
      <c r="B197" s="49">
        <v>195</v>
      </c>
      <c r="C197" s="50">
        <v>3</v>
      </c>
      <c r="D197" s="50">
        <v>5102452</v>
      </c>
      <c r="E197" s="50" t="str">
        <f t="shared" si="12"/>
        <v>5102452</v>
      </c>
      <c r="F197" s="50" t="s">
        <v>410</v>
      </c>
      <c r="G197" s="52" t="s">
        <v>198</v>
      </c>
      <c r="H197" s="51" t="s">
        <v>786</v>
      </c>
      <c r="I197" s="79" t="s">
        <v>1153</v>
      </c>
      <c r="J197" s="79" t="s">
        <v>1193</v>
      </c>
      <c r="K197" s="50">
        <v>2</v>
      </c>
      <c r="L197" s="50">
        <v>2</v>
      </c>
      <c r="M197" s="50" t="s">
        <v>1074</v>
      </c>
      <c r="N197" s="52" t="s">
        <v>712</v>
      </c>
      <c r="O197" s="50" t="s">
        <v>14</v>
      </c>
      <c r="P197" s="50"/>
      <c r="Q197" s="50" t="s">
        <v>18</v>
      </c>
      <c r="R197" s="50" t="s">
        <v>15</v>
      </c>
      <c r="S197" s="50"/>
      <c r="T197" s="50" t="s">
        <v>397</v>
      </c>
      <c r="U197" s="50" t="s">
        <v>383</v>
      </c>
      <c r="V197" s="50" t="s">
        <v>793</v>
      </c>
      <c r="W197" s="52" t="s">
        <v>816</v>
      </c>
      <c r="X197" s="52" t="s">
        <v>712</v>
      </c>
      <c r="Y197" s="50" t="s">
        <v>717</v>
      </c>
      <c r="Z197" s="72">
        <v>0</v>
      </c>
      <c r="AA197" s="72">
        <v>0</v>
      </c>
      <c r="AB197" s="72">
        <v>0</v>
      </c>
      <c r="AC197" s="72">
        <v>0</v>
      </c>
      <c r="AD197" s="109">
        <v>0</v>
      </c>
      <c r="AE197" s="118"/>
    </row>
    <row r="198" spans="2:31" s="57" customFormat="1" x14ac:dyDescent="0.2">
      <c r="B198" s="49">
        <v>196</v>
      </c>
      <c r="C198" s="50">
        <v>3</v>
      </c>
      <c r="D198" s="50">
        <v>5102545</v>
      </c>
      <c r="E198" s="50" t="str">
        <f t="shared" si="12"/>
        <v>5102545</v>
      </c>
      <c r="F198" s="50" t="s">
        <v>432</v>
      </c>
      <c r="G198" s="52" t="s">
        <v>199</v>
      </c>
      <c r="H198" s="51" t="s">
        <v>1100</v>
      </c>
      <c r="I198" s="79" t="s">
        <v>1154</v>
      </c>
      <c r="J198" s="79" t="s">
        <v>1193</v>
      </c>
      <c r="K198" s="50">
        <v>6</v>
      </c>
      <c r="L198" s="50">
        <v>6</v>
      </c>
      <c r="M198" s="50" t="s">
        <v>1074</v>
      </c>
      <c r="N198" s="52" t="s">
        <v>712</v>
      </c>
      <c r="O198" s="50" t="s">
        <v>14</v>
      </c>
      <c r="P198" s="50"/>
      <c r="Q198" s="50" t="s">
        <v>200</v>
      </c>
      <c r="R198" s="50" t="s">
        <v>15</v>
      </c>
      <c r="S198" s="50"/>
      <c r="T198" s="50" t="s">
        <v>397</v>
      </c>
      <c r="U198" s="50" t="s">
        <v>383</v>
      </c>
      <c r="V198" s="50" t="s">
        <v>793</v>
      </c>
      <c r="W198" s="52" t="s">
        <v>816</v>
      </c>
      <c r="X198" s="52" t="s">
        <v>712</v>
      </c>
      <c r="Y198" s="50" t="s">
        <v>717</v>
      </c>
      <c r="Z198" s="72">
        <v>0</v>
      </c>
      <c r="AA198" s="72">
        <v>0</v>
      </c>
      <c r="AB198" s="72">
        <v>0</v>
      </c>
      <c r="AC198" s="72">
        <v>0</v>
      </c>
      <c r="AD198" s="109">
        <v>0</v>
      </c>
      <c r="AE198" s="118"/>
    </row>
    <row r="199" spans="2:31" s="57" customFormat="1" x14ac:dyDescent="0.2">
      <c r="B199" s="49">
        <v>197</v>
      </c>
      <c r="C199" s="50">
        <v>3</v>
      </c>
      <c r="D199" s="50">
        <v>5102566</v>
      </c>
      <c r="E199" s="50" t="str">
        <f t="shared" si="12"/>
        <v>5102566</v>
      </c>
      <c r="F199" s="50" t="s">
        <v>418</v>
      </c>
      <c r="G199" s="52" t="s">
        <v>201</v>
      </c>
      <c r="H199" s="51" t="s">
        <v>786</v>
      </c>
      <c r="I199" s="79" t="s">
        <v>1155</v>
      </c>
      <c r="J199" s="79" t="s">
        <v>1193</v>
      </c>
      <c r="K199" s="50">
        <v>1</v>
      </c>
      <c r="L199" s="50">
        <v>1</v>
      </c>
      <c r="M199" s="50" t="s">
        <v>1074</v>
      </c>
      <c r="N199" s="52" t="s">
        <v>712</v>
      </c>
      <c r="O199" s="50" t="s">
        <v>14</v>
      </c>
      <c r="P199" s="50"/>
      <c r="Q199" s="50" t="s">
        <v>21</v>
      </c>
      <c r="R199" s="50" t="s">
        <v>15</v>
      </c>
      <c r="S199" s="50"/>
      <c r="T199" s="50" t="s">
        <v>397</v>
      </c>
      <c r="U199" s="50" t="s">
        <v>383</v>
      </c>
      <c r="V199" s="50" t="s">
        <v>793</v>
      </c>
      <c r="W199" s="52" t="s">
        <v>816</v>
      </c>
      <c r="X199" s="52" t="s">
        <v>712</v>
      </c>
      <c r="Y199" s="50" t="s">
        <v>717</v>
      </c>
      <c r="Z199" s="72">
        <v>0</v>
      </c>
      <c r="AA199" s="72">
        <v>0</v>
      </c>
      <c r="AB199" s="72">
        <v>0</v>
      </c>
      <c r="AC199" s="72">
        <v>0</v>
      </c>
      <c r="AD199" s="109">
        <v>0</v>
      </c>
      <c r="AE199" s="118"/>
    </row>
    <row r="200" spans="2:31" s="57" customFormat="1" x14ac:dyDescent="0.2">
      <c r="B200" s="49">
        <v>198</v>
      </c>
      <c r="C200" s="50">
        <v>3</v>
      </c>
      <c r="D200" s="50">
        <v>5102695</v>
      </c>
      <c r="E200" s="50" t="str">
        <f t="shared" si="12"/>
        <v>5102695</v>
      </c>
      <c r="F200" s="50" t="s">
        <v>440</v>
      </c>
      <c r="G200" s="52" t="s">
        <v>202</v>
      </c>
      <c r="H200" s="51" t="s">
        <v>1100</v>
      </c>
      <c r="I200" s="79" t="s">
        <v>1156</v>
      </c>
      <c r="J200" s="79" t="s">
        <v>1193</v>
      </c>
      <c r="K200" s="50">
        <v>2</v>
      </c>
      <c r="L200" s="50">
        <v>2</v>
      </c>
      <c r="M200" s="50" t="s">
        <v>1074</v>
      </c>
      <c r="N200" s="52" t="s">
        <v>712</v>
      </c>
      <c r="O200" s="50" t="s">
        <v>14</v>
      </c>
      <c r="P200" s="50"/>
      <c r="Q200" s="50" t="s">
        <v>18</v>
      </c>
      <c r="R200" s="50" t="s">
        <v>15</v>
      </c>
      <c r="S200" s="50"/>
      <c r="T200" s="50" t="s">
        <v>397</v>
      </c>
      <c r="U200" s="50" t="s">
        <v>383</v>
      </c>
      <c r="V200" s="50" t="s">
        <v>793</v>
      </c>
      <c r="W200" s="52" t="s">
        <v>816</v>
      </c>
      <c r="X200" s="52" t="s">
        <v>712</v>
      </c>
      <c r="Y200" s="50" t="s">
        <v>717</v>
      </c>
      <c r="Z200" s="72">
        <v>0</v>
      </c>
      <c r="AA200" s="72">
        <v>0</v>
      </c>
      <c r="AB200" s="72">
        <v>0</v>
      </c>
      <c r="AC200" s="72">
        <v>0</v>
      </c>
      <c r="AD200" s="109">
        <v>0</v>
      </c>
      <c r="AE200" s="118"/>
    </row>
    <row r="201" spans="2:31" s="57" customFormat="1" x14ac:dyDescent="0.2">
      <c r="B201" s="49">
        <v>199</v>
      </c>
      <c r="C201" s="50">
        <v>3</v>
      </c>
      <c r="D201" s="50">
        <v>5102725</v>
      </c>
      <c r="E201" s="50" t="str">
        <f t="shared" si="12"/>
        <v>5102725</v>
      </c>
      <c r="F201" s="50" t="s">
        <v>418</v>
      </c>
      <c r="G201" s="52" t="s">
        <v>203</v>
      </c>
      <c r="H201" s="51" t="s">
        <v>786</v>
      </c>
      <c r="I201" s="79" t="s">
        <v>1157</v>
      </c>
      <c r="J201" s="79" t="s">
        <v>1193</v>
      </c>
      <c r="K201" s="50">
        <v>1</v>
      </c>
      <c r="L201" s="50">
        <v>1</v>
      </c>
      <c r="M201" s="50" t="s">
        <v>1074</v>
      </c>
      <c r="N201" s="52" t="s">
        <v>712</v>
      </c>
      <c r="O201" s="50" t="s">
        <v>14</v>
      </c>
      <c r="P201" s="50"/>
      <c r="Q201" s="50" t="s">
        <v>21</v>
      </c>
      <c r="R201" s="50" t="s">
        <v>15</v>
      </c>
      <c r="S201" s="50"/>
      <c r="T201" s="50" t="s">
        <v>397</v>
      </c>
      <c r="U201" s="50" t="s">
        <v>383</v>
      </c>
      <c r="V201" s="50" t="s">
        <v>793</v>
      </c>
      <c r="W201" s="52" t="s">
        <v>816</v>
      </c>
      <c r="X201" s="52" t="s">
        <v>712</v>
      </c>
      <c r="Y201" s="50" t="s">
        <v>717</v>
      </c>
      <c r="Z201" s="72">
        <v>0</v>
      </c>
      <c r="AA201" s="72">
        <v>0</v>
      </c>
      <c r="AB201" s="72">
        <v>0</v>
      </c>
      <c r="AC201" s="72">
        <v>0</v>
      </c>
      <c r="AD201" s="109">
        <v>0</v>
      </c>
      <c r="AE201" s="118"/>
    </row>
    <row r="202" spans="2:31" s="57" customFormat="1" x14ac:dyDescent="0.2">
      <c r="B202" s="49">
        <v>200</v>
      </c>
      <c r="C202" s="50">
        <v>3</v>
      </c>
      <c r="D202" s="50">
        <v>5102868</v>
      </c>
      <c r="E202" s="50" t="str">
        <f t="shared" si="12"/>
        <v>5102868</v>
      </c>
      <c r="F202" s="50" t="s">
        <v>428</v>
      </c>
      <c r="G202" s="52" t="s">
        <v>205</v>
      </c>
      <c r="H202" s="51" t="s">
        <v>788</v>
      </c>
      <c r="I202" s="79">
        <v>3203053</v>
      </c>
      <c r="J202" s="79" t="s">
        <v>1193</v>
      </c>
      <c r="K202" s="50">
        <v>24</v>
      </c>
      <c r="L202" s="50">
        <v>24</v>
      </c>
      <c r="M202" s="50" t="s">
        <v>1074</v>
      </c>
      <c r="N202" s="52" t="s">
        <v>712</v>
      </c>
      <c r="O202" s="50" t="s">
        <v>14</v>
      </c>
      <c r="P202" s="50"/>
      <c r="Q202" s="50" t="s">
        <v>206</v>
      </c>
      <c r="R202" s="50" t="s">
        <v>15</v>
      </c>
      <c r="S202" s="50"/>
      <c r="T202" s="50" t="s">
        <v>397</v>
      </c>
      <c r="U202" s="50" t="s">
        <v>383</v>
      </c>
      <c r="V202" s="50" t="s">
        <v>721</v>
      </c>
      <c r="W202" s="52" t="s">
        <v>1266</v>
      </c>
      <c r="X202" s="52" t="s">
        <v>712</v>
      </c>
      <c r="Y202" s="50" t="s">
        <v>717</v>
      </c>
      <c r="Z202" s="72">
        <v>0</v>
      </c>
      <c r="AA202" s="72">
        <v>0</v>
      </c>
      <c r="AB202" s="72">
        <v>0</v>
      </c>
      <c r="AC202" s="72">
        <v>0</v>
      </c>
      <c r="AD202" s="109">
        <v>0</v>
      </c>
      <c r="AE202" s="118"/>
    </row>
    <row r="203" spans="2:31" s="57" customFormat="1" x14ac:dyDescent="0.2">
      <c r="B203" s="49">
        <v>201</v>
      </c>
      <c r="C203" s="50">
        <v>3</v>
      </c>
      <c r="D203" s="50">
        <v>5102969</v>
      </c>
      <c r="E203" s="50" t="str">
        <f t="shared" si="12"/>
        <v>5102969</v>
      </c>
      <c r="F203" s="50" t="s">
        <v>437</v>
      </c>
      <c r="G203" s="52" t="s">
        <v>121</v>
      </c>
      <c r="H203" s="51" t="s">
        <v>760</v>
      </c>
      <c r="I203" s="79" t="s">
        <v>1158</v>
      </c>
      <c r="J203" s="79" t="s">
        <v>1193</v>
      </c>
      <c r="K203" s="50">
        <v>1</v>
      </c>
      <c r="L203" s="50">
        <v>1</v>
      </c>
      <c r="M203" s="50" t="s">
        <v>1074</v>
      </c>
      <c r="N203" s="52" t="s">
        <v>720</v>
      </c>
      <c r="O203" s="50" t="s">
        <v>14</v>
      </c>
      <c r="P203" s="50"/>
      <c r="Q203" s="50" t="s">
        <v>21</v>
      </c>
      <c r="R203" s="50" t="s">
        <v>15</v>
      </c>
      <c r="S203" s="50"/>
      <c r="T203" s="50" t="s">
        <v>397</v>
      </c>
      <c r="U203" s="50" t="s">
        <v>383</v>
      </c>
      <c r="V203" s="50" t="s">
        <v>836</v>
      </c>
      <c r="W203" s="52" t="s">
        <v>804</v>
      </c>
      <c r="X203" s="52" t="s">
        <v>712</v>
      </c>
      <c r="Y203" s="50" t="s">
        <v>717</v>
      </c>
      <c r="Z203" s="72">
        <v>0</v>
      </c>
      <c r="AA203" s="72">
        <v>0</v>
      </c>
      <c r="AB203" s="72">
        <v>0</v>
      </c>
      <c r="AC203" s="72">
        <v>0</v>
      </c>
      <c r="AD203" s="109">
        <v>0</v>
      </c>
      <c r="AE203" s="118"/>
    </row>
    <row r="204" spans="2:31" s="57" customFormat="1" x14ac:dyDescent="0.2">
      <c r="B204" s="49">
        <v>202</v>
      </c>
      <c r="C204" s="50">
        <v>3</v>
      </c>
      <c r="D204" s="50">
        <v>5102972</v>
      </c>
      <c r="E204" s="50" t="str">
        <f t="shared" si="12"/>
        <v>5102972</v>
      </c>
      <c r="F204" s="50" t="s">
        <v>457</v>
      </c>
      <c r="G204" s="52" t="s">
        <v>208</v>
      </c>
      <c r="H204" s="51" t="s">
        <v>760</v>
      </c>
      <c r="I204" s="79" t="s">
        <v>1159</v>
      </c>
      <c r="J204" s="79" t="s">
        <v>1193</v>
      </c>
      <c r="K204" s="50">
        <v>16</v>
      </c>
      <c r="L204" s="50">
        <v>16</v>
      </c>
      <c r="M204" s="50" t="s">
        <v>1074</v>
      </c>
      <c r="N204" s="52" t="s">
        <v>712</v>
      </c>
      <c r="O204" s="50" t="s">
        <v>14</v>
      </c>
      <c r="P204" s="50"/>
      <c r="Q204" s="50" t="s">
        <v>209</v>
      </c>
      <c r="R204" s="50" t="s">
        <v>15</v>
      </c>
      <c r="S204" s="50"/>
      <c r="T204" s="50" t="s">
        <v>397</v>
      </c>
      <c r="U204" s="50" t="s">
        <v>383</v>
      </c>
      <c r="V204" s="50" t="s">
        <v>836</v>
      </c>
      <c r="W204" s="52" t="s">
        <v>804</v>
      </c>
      <c r="X204" s="52" t="s">
        <v>712</v>
      </c>
      <c r="Y204" s="50" t="s">
        <v>717</v>
      </c>
      <c r="Z204" s="72">
        <v>0</v>
      </c>
      <c r="AA204" s="72">
        <v>0</v>
      </c>
      <c r="AB204" s="72">
        <v>0</v>
      </c>
      <c r="AC204" s="72">
        <v>0</v>
      </c>
      <c r="AD204" s="109">
        <v>0</v>
      </c>
      <c r="AE204" s="118"/>
    </row>
    <row r="205" spans="2:31" s="57" customFormat="1" x14ac:dyDescent="0.2">
      <c r="B205" s="49">
        <v>203</v>
      </c>
      <c r="C205" s="50">
        <v>3</v>
      </c>
      <c r="D205" s="50">
        <v>570000209</v>
      </c>
      <c r="E205" s="50" t="str">
        <f t="shared" si="12"/>
        <v>570000209</v>
      </c>
      <c r="F205" s="50" t="s">
        <v>422</v>
      </c>
      <c r="G205" s="52" t="s">
        <v>210</v>
      </c>
      <c r="H205" s="51" t="s">
        <v>772</v>
      </c>
      <c r="I205" s="79">
        <v>164258</v>
      </c>
      <c r="J205" s="79" t="s">
        <v>1193</v>
      </c>
      <c r="K205" s="50">
        <v>12</v>
      </c>
      <c r="L205" s="50">
        <v>12</v>
      </c>
      <c r="M205" s="50" t="s">
        <v>1074</v>
      </c>
      <c r="N205" s="52" t="s">
        <v>712</v>
      </c>
      <c r="O205" s="50" t="s">
        <v>14</v>
      </c>
      <c r="P205" s="50"/>
      <c r="Q205" s="50" t="s">
        <v>211</v>
      </c>
      <c r="R205" s="50" t="s">
        <v>15</v>
      </c>
      <c r="S205" s="50"/>
      <c r="T205" s="50" t="s">
        <v>397</v>
      </c>
      <c r="U205" s="50" t="s">
        <v>383</v>
      </c>
      <c r="V205" s="50" t="s">
        <v>738</v>
      </c>
      <c r="W205" s="52" t="s">
        <v>809</v>
      </c>
      <c r="X205" s="52" t="s">
        <v>712</v>
      </c>
      <c r="Y205" s="50" t="s">
        <v>717</v>
      </c>
      <c r="Z205" s="72">
        <v>0</v>
      </c>
      <c r="AA205" s="72">
        <v>0</v>
      </c>
      <c r="AB205" s="72">
        <v>0</v>
      </c>
      <c r="AC205" s="72">
        <v>0</v>
      </c>
      <c r="AD205" s="109">
        <v>0</v>
      </c>
      <c r="AE205" s="118" t="s">
        <v>1263</v>
      </c>
    </row>
    <row r="206" spans="2:31" s="57" customFormat="1" ht="40.5" x14ac:dyDescent="0.2">
      <c r="B206" s="49">
        <v>204</v>
      </c>
      <c r="C206" s="50">
        <v>3</v>
      </c>
      <c r="D206" s="50">
        <v>570000585</v>
      </c>
      <c r="E206" s="50" t="str">
        <f t="shared" si="12"/>
        <v>570000585</v>
      </c>
      <c r="F206" s="50" t="s">
        <v>422</v>
      </c>
      <c r="G206" s="52" t="s">
        <v>387</v>
      </c>
      <c r="H206" s="51" t="s">
        <v>1118</v>
      </c>
      <c r="I206" s="79" t="s">
        <v>915</v>
      </c>
      <c r="J206" s="79" t="s">
        <v>1193</v>
      </c>
      <c r="K206" s="50">
        <v>1</v>
      </c>
      <c r="L206" s="50">
        <v>1</v>
      </c>
      <c r="M206" s="50" t="s">
        <v>1074</v>
      </c>
      <c r="N206" s="52" t="s">
        <v>719</v>
      </c>
      <c r="O206" s="50" t="s">
        <v>14</v>
      </c>
      <c r="P206" s="50"/>
      <c r="Q206" s="50" t="s">
        <v>21</v>
      </c>
      <c r="R206" s="50" t="s">
        <v>15</v>
      </c>
      <c r="S206" s="50"/>
      <c r="T206" s="50" t="s">
        <v>397</v>
      </c>
      <c r="U206" s="50" t="s">
        <v>383</v>
      </c>
      <c r="V206" s="50" t="s">
        <v>1265</v>
      </c>
      <c r="W206" s="52" t="s">
        <v>736</v>
      </c>
      <c r="X206" s="52" t="s">
        <v>712</v>
      </c>
      <c r="Y206" s="50" t="s">
        <v>717</v>
      </c>
      <c r="Z206" s="72">
        <v>0</v>
      </c>
      <c r="AA206" s="72">
        <v>0</v>
      </c>
      <c r="AB206" s="72">
        <v>0</v>
      </c>
      <c r="AC206" s="72">
        <v>0</v>
      </c>
      <c r="AD206" s="109">
        <v>0</v>
      </c>
      <c r="AE206" s="118"/>
    </row>
    <row r="207" spans="2:31" s="57" customFormat="1" x14ac:dyDescent="0.2">
      <c r="B207" s="49">
        <v>205</v>
      </c>
      <c r="C207" s="50">
        <v>3</v>
      </c>
      <c r="D207" s="50">
        <v>570000896</v>
      </c>
      <c r="E207" s="50" t="str">
        <f t="shared" si="12"/>
        <v>570000896</v>
      </c>
      <c r="F207" s="50" t="s">
        <v>418</v>
      </c>
      <c r="G207" s="52" t="s">
        <v>212</v>
      </c>
      <c r="H207" s="51" t="s">
        <v>772</v>
      </c>
      <c r="I207" s="79">
        <v>8047676</v>
      </c>
      <c r="J207" s="79" t="s">
        <v>1193</v>
      </c>
      <c r="K207" s="50">
        <v>2</v>
      </c>
      <c r="L207" s="50">
        <v>2</v>
      </c>
      <c r="M207" s="50" t="s">
        <v>1074</v>
      </c>
      <c r="N207" s="52" t="s">
        <v>712</v>
      </c>
      <c r="O207" s="50" t="s">
        <v>14</v>
      </c>
      <c r="P207" s="50"/>
      <c r="Q207" s="50" t="s">
        <v>18</v>
      </c>
      <c r="R207" s="50" t="s">
        <v>15</v>
      </c>
      <c r="S207" s="50"/>
      <c r="T207" s="50" t="s">
        <v>397</v>
      </c>
      <c r="U207" s="50" t="s">
        <v>383</v>
      </c>
      <c r="V207" s="50" t="s">
        <v>738</v>
      </c>
      <c r="W207" s="52" t="s">
        <v>809</v>
      </c>
      <c r="X207" s="52" t="s">
        <v>712</v>
      </c>
      <c r="Y207" s="50" t="s">
        <v>717</v>
      </c>
      <c r="Z207" s="72">
        <v>0</v>
      </c>
      <c r="AA207" s="72">
        <v>0</v>
      </c>
      <c r="AB207" s="72">
        <v>0</v>
      </c>
      <c r="AC207" s="72">
        <v>0</v>
      </c>
      <c r="AD207" s="109">
        <v>0</v>
      </c>
      <c r="AE207" s="118" t="s">
        <v>1263</v>
      </c>
    </row>
    <row r="208" spans="2:31" s="57" customFormat="1" x14ac:dyDescent="0.2">
      <c r="B208" s="49">
        <v>206</v>
      </c>
      <c r="C208" s="50">
        <v>3</v>
      </c>
      <c r="D208" s="50">
        <v>7700004</v>
      </c>
      <c r="E208" s="50" t="str">
        <f t="shared" si="12"/>
        <v>7700004</v>
      </c>
      <c r="F208" s="50" t="s">
        <v>458</v>
      </c>
      <c r="G208" s="52" t="s">
        <v>214</v>
      </c>
      <c r="H208" s="51" t="s">
        <v>1101</v>
      </c>
      <c r="I208" s="79">
        <v>8761</v>
      </c>
      <c r="J208" s="79" t="s">
        <v>1193</v>
      </c>
      <c r="K208" s="50">
        <v>28</v>
      </c>
      <c r="L208" s="50">
        <v>28</v>
      </c>
      <c r="M208" s="50" t="s">
        <v>1074</v>
      </c>
      <c r="N208" s="52" t="s">
        <v>720</v>
      </c>
      <c r="O208" s="50" t="s">
        <v>14</v>
      </c>
      <c r="P208" s="50"/>
      <c r="Q208" s="50" t="s">
        <v>215</v>
      </c>
      <c r="R208" s="50" t="s">
        <v>15</v>
      </c>
      <c r="S208" s="50"/>
      <c r="T208" s="50" t="s">
        <v>397</v>
      </c>
      <c r="U208" s="50" t="s">
        <v>383</v>
      </c>
      <c r="V208" s="50" t="s">
        <v>793</v>
      </c>
      <c r="W208" s="52" t="s">
        <v>818</v>
      </c>
      <c r="X208" s="52" t="s">
        <v>712</v>
      </c>
      <c r="Y208" s="50" t="s">
        <v>717</v>
      </c>
      <c r="Z208" s="72">
        <v>0</v>
      </c>
      <c r="AA208" s="72">
        <v>0</v>
      </c>
      <c r="AB208" s="72">
        <v>0</v>
      </c>
      <c r="AC208" s="72">
        <v>0</v>
      </c>
      <c r="AD208" s="109">
        <v>0</v>
      </c>
      <c r="AE208" s="118"/>
    </row>
    <row r="209" spans="2:31" s="57" customFormat="1" x14ac:dyDescent="0.2">
      <c r="B209" s="49">
        <v>207</v>
      </c>
      <c r="C209" s="50">
        <v>3</v>
      </c>
      <c r="D209" s="50">
        <v>7700071</v>
      </c>
      <c r="E209" s="50" t="str">
        <f t="shared" si="12"/>
        <v>7700071</v>
      </c>
      <c r="F209" s="50" t="s">
        <v>459</v>
      </c>
      <c r="G209" s="52" t="s">
        <v>217</v>
      </c>
      <c r="H209" s="51" t="s">
        <v>1101</v>
      </c>
      <c r="I209" s="79" t="s">
        <v>1214</v>
      </c>
      <c r="J209" s="79" t="s">
        <v>1193</v>
      </c>
      <c r="K209" s="50">
        <v>10.5</v>
      </c>
      <c r="L209" s="50">
        <v>10.5</v>
      </c>
      <c r="M209" s="50" t="s">
        <v>1074</v>
      </c>
      <c r="N209" s="52" t="s">
        <v>720</v>
      </c>
      <c r="O209" s="50" t="s">
        <v>14</v>
      </c>
      <c r="P209" s="50"/>
      <c r="Q209" s="50" t="s">
        <v>218</v>
      </c>
      <c r="R209" s="50" t="s">
        <v>15</v>
      </c>
      <c r="S209" s="50"/>
      <c r="T209" s="50" t="s">
        <v>397</v>
      </c>
      <c r="U209" s="50" t="s">
        <v>383</v>
      </c>
      <c r="V209" s="50" t="s">
        <v>793</v>
      </c>
      <c r="W209" s="52" t="s">
        <v>818</v>
      </c>
      <c r="X209" s="52" t="s">
        <v>712</v>
      </c>
      <c r="Y209" s="50" t="s">
        <v>717</v>
      </c>
      <c r="Z209" s="72">
        <v>0</v>
      </c>
      <c r="AA209" s="72">
        <v>0</v>
      </c>
      <c r="AB209" s="72">
        <v>0</v>
      </c>
      <c r="AC209" s="72">
        <v>0</v>
      </c>
      <c r="AD209" s="109">
        <v>0</v>
      </c>
      <c r="AE209" s="118"/>
    </row>
    <row r="210" spans="2:31" s="57" customFormat="1" x14ac:dyDescent="0.2">
      <c r="B210" s="49">
        <v>208</v>
      </c>
      <c r="C210" s="50">
        <v>3</v>
      </c>
      <c r="D210" s="50">
        <v>7700072</v>
      </c>
      <c r="E210" s="50" t="str">
        <f t="shared" si="12"/>
        <v>7700072</v>
      </c>
      <c r="F210" s="50" t="s">
        <v>457</v>
      </c>
      <c r="G210" s="52" t="s">
        <v>219</v>
      </c>
      <c r="H210" s="51" t="s">
        <v>1101</v>
      </c>
      <c r="I210" s="79" t="s">
        <v>1160</v>
      </c>
      <c r="J210" s="79" t="s">
        <v>1193</v>
      </c>
      <c r="K210" s="50">
        <v>3.8</v>
      </c>
      <c r="L210" s="50">
        <v>3.8</v>
      </c>
      <c r="M210" s="50" t="s">
        <v>1074</v>
      </c>
      <c r="N210" s="52" t="s">
        <v>720</v>
      </c>
      <c r="O210" s="50" t="s">
        <v>14</v>
      </c>
      <c r="P210" s="50"/>
      <c r="Q210" s="50" t="s">
        <v>220</v>
      </c>
      <c r="R210" s="50" t="s">
        <v>15</v>
      </c>
      <c r="S210" s="50"/>
      <c r="T210" s="50" t="s">
        <v>397</v>
      </c>
      <c r="U210" s="50" t="s">
        <v>383</v>
      </c>
      <c r="V210" s="50" t="s">
        <v>793</v>
      </c>
      <c r="W210" s="52" t="s">
        <v>818</v>
      </c>
      <c r="X210" s="52" t="s">
        <v>712</v>
      </c>
      <c r="Y210" s="50" t="s">
        <v>717</v>
      </c>
      <c r="Z210" s="72">
        <v>0</v>
      </c>
      <c r="AA210" s="72">
        <v>0</v>
      </c>
      <c r="AB210" s="72">
        <v>0</v>
      </c>
      <c r="AC210" s="72">
        <v>0</v>
      </c>
      <c r="AD210" s="109">
        <v>0</v>
      </c>
      <c r="AE210" s="118"/>
    </row>
    <row r="211" spans="2:31" s="57" customFormat="1" x14ac:dyDescent="0.2">
      <c r="B211" s="49">
        <v>209</v>
      </c>
      <c r="C211" s="50">
        <v>3</v>
      </c>
      <c r="D211" s="50">
        <v>7700364</v>
      </c>
      <c r="E211" s="50" t="str">
        <f t="shared" si="12"/>
        <v>7700364</v>
      </c>
      <c r="F211" s="50" t="s">
        <v>460</v>
      </c>
      <c r="G211" s="52" t="s">
        <v>222</v>
      </c>
      <c r="H211" s="51" t="s">
        <v>1101</v>
      </c>
      <c r="I211" s="79">
        <v>8723</v>
      </c>
      <c r="J211" s="79" t="s">
        <v>1193</v>
      </c>
      <c r="K211" s="50">
        <v>9.75</v>
      </c>
      <c r="L211" s="50">
        <v>9.75</v>
      </c>
      <c r="M211" s="50" t="s">
        <v>1074</v>
      </c>
      <c r="N211" s="52" t="s">
        <v>720</v>
      </c>
      <c r="O211" s="50" t="s">
        <v>14</v>
      </c>
      <c r="P211" s="50"/>
      <c r="Q211" s="50" t="s">
        <v>223</v>
      </c>
      <c r="R211" s="50" t="s">
        <v>15</v>
      </c>
      <c r="S211" s="50"/>
      <c r="T211" s="50" t="s">
        <v>397</v>
      </c>
      <c r="U211" s="50" t="s">
        <v>383</v>
      </c>
      <c r="V211" s="50" t="s">
        <v>793</v>
      </c>
      <c r="W211" s="52" t="s">
        <v>818</v>
      </c>
      <c r="X211" s="52" t="s">
        <v>712</v>
      </c>
      <c r="Y211" s="50" t="s">
        <v>717</v>
      </c>
      <c r="Z211" s="72">
        <v>0</v>
      </c>
      <c r="AA211" s="72">
        <v>0</v>
      </c>
      <c r="AB211" s="72">
        <v>0</v>
      </c>
      <c r="AC211" s="72">
        <v>0</v>
      </c>
      <c r="AD211" s="109">
        <v>0</v>
      </c>
      <c r="AE211" s="118"/>
    </row>
    <row r="212" spans="2:31" s="57" customFormat="1" x14ac:dyDescent="0.2">
      <c r="B212" s="49">
        <v>210</v>
      </c>
      <c r="C212" s="50">
        <v>3</v>
      </c>
      <c r="D212" s="50">
        <v>7700425</v>
      </c>
      <c r="E212" s="50" t="str">
        <f t="shared" si="12"/>
        <v>7700425</v>
      </c>
      <c r="F212" s="50" t="s">
        <v>413</v>
      </c>
      <c r="G212" s="52" t="s">
        <v>224</v>
      </c>
      <c r="H212" s="51" t="s">
        <v>1101</v>
      </c>
      <c r="I212" s="79" t="s">
        <v>1213</v>
      </c>
      <c r="J212" s="79" t="s">
        <v>1193</v>
      </c>
      <c r="K212" s="50">
        <v>4.5</v>
      </c>
      <c r="L212" s="50">
        <v>4.5</v>
      </c>
      <c r="M212" s="50" t="s">
        <v>1074</v>
      </c>
      <c r="N212" s="52" t="s">
        <v>720</v>
      </c>
      <c r="O212" s="50" t="s">
        <v>14</v>
      </c>
      <c r="P212" s="50"/>
      <c r="Q212" s="50" t="s">
        <v>225</v>
      </c>
      <c r="R212" s="50" t="s">
        <v>15</v>
      </c>
      <c r="S212" s="50"/>
      <c r="T212" s="50" t="s">
        <v>397</v>
      </c>
      <c r="U212" s="50" t="s">
        <v>383</v>
      </c>
      <c r="V212" s="50" t="s">
        <v>793</v>
      </c>
      <c r="W212" s="52" t="s">
        <v>818</v>
      </c>
      <c r="X212" s="52" t="s">
        <v>712</v>
      </c>
      <c r="Y212" s="50" t="s">
        <v>717</v>
      </c>
      <c r="Z212" s="72">
        <v>0</v>
      </c>
      <c r="AA212" s="72">
        <v>0</v>
      </c>
      <c r="AB212" s="72">
        <v>0</v>
      </c>
      <c r="AC212" s="72">
        <v>0</v>
      </c>
      <c r="AD212" s="109">
        <v>0</v>
      </c>
      <c r="AE212" s="118"/>
    </row>
    <row r="213" spans="2:31" s="57" customFormat="1" x14ac:dyDescent="0.2">
      <c r="B213" s="49">
        <v>211</v>
      </c>
      <c r="C213" s="50">
        <v>3</v>
      </c>
      <c r="D213" s="50">
        <v>7700426</v>
      </c>
      <c r="E213" s="50" t="str">
        <f t="shared" si="12"/>
        <v>7700426</v>
      </c>
      <c r="F213" s="50" t="s">
        <v>461</v>
      </c>
      <c r="G213" s="52" t="s">
        <v>227</v>
      </c>
      <c r="H213" s="51" t="s">
        <v>1101</v>
      </c>
      <c r="I213" s="79" t="s">
        <v>1212</v>
      </c>
      <c r="J213" s="79" t="s">
        <v>1193</v>
      </c>
      <c r="K213" s="50">
        <v>5.9</v>
      </c>
      <c r="L213" s="50">
        <v>5.9</v>
      </c>
      <c r="M213" s="50" t="s">
        <v>1074</v>
      </c>
      <c r="N213" s="52" t="s">
        <v>720</v>
      </c>
      <c r="O213" s="50" t="s">
        <v>14</v>
      </c>
      <c r="P213" s="50"/>
      <c r="Q213" s="50" t="s">
        <v>228</v>
      </c>
      <c r="R213" s="50" t="s">
        <v>15</v>
      </c>
      <c r="S213" s="50"/>
      <c r="T213" s="50" t="s">
        <v>397</v>
      </c>
      <c r="U213" s="50" t="s">
        <v>383</v>
      </c>
      <c r="V213" s="50" t="s">
        <v>793</v>
      </c>
      <c r="W213" s="52" t="s">
        <v>818</v>
      </c>
      <c r="X213" s="52" t="s">
        <v>712</v>
      </c>
      <c r="Y213" s="50" t="s">
        <v>717</v>
      </c>
      <c r="Z213" s="72">
        <v>0</v>
      </c>
      <c r="AA213" s="72">
        <v>0</v>
      </c>
      <c r="AB213" s="72">
        <v>0</v>
      </c>
      <c r="AC213" s="72">
        <v>0</v>
      </c>
      <c r="AD213" s="109">
        <v>0</v>
      </c>
      <c r="AE213" s="118"/>
    </row>
    <row r="214" spans="2:31" s="57" customFormat="1" x14ac:dyDescent="0.2">
      <c r="B214" s="12">
        <v>212</v>
      </c>
      <c r="C214" s="20">
        <v>2</v>
      </c>
      <c r="D214" s="20">
        <v>170040410</v>
      </c>
      <c r="E214" s="20" t="str">
        <f t="shared" si="12"/>
        <v>170040410</v>
      </c>
      <c r="F214" s="20" t="s">
        <v>422</v>
      </c>
      <c r="G214" s="59" t="s">
        <v>84</v>
      </c>
      <c r="H214" s="58" t="s">
        <v>712</v>
      </c>
      <c r="I214" s="78" t="s">
        <v>397</v>
      </c>
      <c r="J214" s="78" t="s">
        <v>1193</v>
      </c>
      <c r="K214" s="20">
        <v>1</v>
      </c>
      <c r="L214" s="20">
        <v>1</v>
      </c>
      <c r="M214" s="20" t="s">
        <v>1095</v>
      </c>
      <c r="N214" s="59" t="s">
        <v>733</v>
      </c>
      <c r="O214" s="20" t="s">
        <v>14</v>
      </c>
      <c r="P214" s="20"/>
      <c r="Q214" s="20" t="s">
        <v>21</v>
      </c>
      <c r="R214" s="20" t="s">
        <v>15</v>
      </c>
      <c r="S214" s="20"/>
      <c r="T214" s="20" t="s">
        <v>393</v>
      </c>
      <c r="U214" s="20" t="s">
        <v>344</v>
      </c>
      <c r="V214" s="20" t="s">
        <v>792</v>
      </c>
      <c r="W214" s="20" t="s">
        <v>734</v>
      </c>
      <c r="X214" s="59" t="s">
        <v>797</v>
      </c>
      <c r="Y214" s="20" t="s">
        <v>717</v>
      </c>
      <c r="Z214" s="71">
        <v>0</v>
      </c>
      <c r="AA214" s="71">
        <v>29700</v>
      </c>
      <c r="AB214" s="71">
        <v>29700</v>
      </c>
      <c r="AC214" s="71">
        <v>29700</v>
      </c>
      <c r="AD214" s="105">
        <f t="shared" ref="AD214:AD232" si="13">$AC214*$K214</f>
        <v>29700</v>
      </c>
      <c r="AE214" s="121">
        <v>45873</v>
      </c>
    </row>
    <row r="215" spans="2:31" s="57" customFormat="1" x14ac:dyDescent="0.2">
      <c r="B215" s="12">
        <v>213</v>
      </c>
      <c r="C215" s="20">
        <v>2</v>
      </c>
      <c r="D215" s="20">
        <v>170040420</v>
      </c>
      <c r="E215" s="20" t="str">
        <f t="shared" si="12"/>
        <v>170040420</v>
      </c>
      <c r="F215" s="20" t="s">
        <v>425</v>
      </c>
      <c r="G215" s="59" t="s">
        <v>230</v>
      </c>
      <c r="H215" s="58" t="s">
        <v>712</v>
      </c>
      <c r="I215" s="78" t="s">
        <v>397</v>
      </c>
      <c r="J215" s="78" t="s">
        <v>1193</v>
      </c>
      <c r="K215" s="20">
        <v>1</v>
      </c>
      <c r="L215" s="20">
        <v>1</v>
      </c>
      <c r="M215" s="20" t="s">
        <v>1095</v>
      </c>
      <c r="N215" s="59" t="s">
        <v>733</v>
      </c>
      <c r="O215" s="20" t="s">
        <v>14</v>
      </c>
      <c r="P215" s="20"/>
      <c r="Q215" s="20" t="s">
        <v>21</v>
      </c>
      <c r="R215" s="20" t="s">
        <v>15</v>
      </c>
      <c r="S215" s="20"/>
      <c r="T215" s="20" t="s">
        <v>362</v>
      </c>
      <c r="U215" s="20" t="s">
        <v>344</v>
      </c>
      <c r="V215" s="20" t="s">
        <v>792</v>
      </c>
      <c r="W215" s="20" t="s">
        <v>734</v>
      </c>
      <c r="X215" s="59" t="s">
        <v>797</v>
      </c>
      <c r="Y215" s="20" t="s">
        <v>717</v>
      </c>
      <c r="Z215" s="71">
        <v>0</v>
      </c>
      <c r="AA215" s="71">
        <v>37800</v>
      </c>
      <c r="AB215" s="71">
        <v>37800</v>
      </c>
      <c r="AC215" s="71">
        <v>37800</v>
      </c>
      <c r="AD215" s="105">
        <f t="shared" si="13"/>
        <v>37800</v>
      </c>
      <c r="AE215" s="121">
        <v>45873</v>
      </c>
    </row>
    <row r="216" spans="2:31" s="57" customFormat="1" x14ac:dyDescent="0.2">
      <c r="B216" s="12">
        <v>214</v>
      </c>
      <c r="C216" s="20">
        <v>2</v>
      </c>
      <c r="D216" s="20">
        <v>170040430</v>
      </c>
      <c r="E216" s="20" t="str">
        <f t="shared" si="12"/>
        <v>170040430</v>
      </c>
      <c r="F216" s="20" t="s">
        <v>462</v>
      </c>
      <c r="G216" s="59" t="s">
        <v>230</v>
      </c>
      <c r="H216" s="58" t="s">
        <v>712</v>
      </c>
      <c r="I216" s="78" t="s">
        <v>397</v>
      </c>
      <c r="J216" s="78" t="s">
        <v>1193</v>
      </c>
      <c r="K216" s="20">
        <v>1</v>
      </c>
      <c r="L216" s="20">
        <v>1</v>
      </c>
      <c r="M216" s="20" t="s">
        <v>1095</v>
      </c>
      <c r="N216" s="59" t="s">
        <v>733</v>
      </c>
      <c r="O216" s="20" t="s">
        <v>14</v>
      </c>
      <c r="P216" s="20"/>
      <c r="Q216" s="20" t="s">
        <v>21</v>
      </c>
      <c r="R216" s="20" t="s">
        <v>15</v>
      </c>
      <c r="S216" s="20"/>
      <c r="T216" s="20" t="s">
        <v>393</v>
      </c>
      <c r="U216" s="20" t="s">
        <v>344</v>
      </c>
      <c r="V216" s="20" t="s">
        <v>792</v>
      </c>
      <c r="W216" s="20" t="s">
        <v>734</v>
      </c>
      <c r="X216" s="59" t="s">
        <v>797</v>
      </c>
      <c r="Y216" s="20" t="s">
        <v>717</v>
      </c>
      <c r="Z216" s="71">
        <v>0</v>
      </c>
      <c r="AA216" s="71">
        <v>35100</v>
      </c>
      <c r="AB216" s="71">
        <v>35100</v>
      </c>
      <c r="AC216" s="71">
        <v>35100</v>
      </c>
      <c r="AD216" s="105">
        <f t="shared" si="13"/>
        <v>35100</v>
      </c>
      <c r="AE216" s="121">
        <v>45873</v>
      </c>
    </row>
    <row r="217" spans="2:31" s="57" customFormat="1" x14ac:dyDescent="0.2">
      <c r="B217" s="12">
        <v>215</v>
      </c>
      <c r="C217" s="20">
        <v>2</v>
      </c>
      <c r="D217" s="20">
        <v>170040440</v>
      </c>
      <c r="E217" s="20" t="str">
        <f t="shared" si="12"/>
        <v>170040440</v>
      </c>
      <c r="F217" s="20" t="s">
        <v>412</v>
      </c>
      <c r="G217" s="59" t="s">
        <v>84</v>
      </c>
      <c r="H217" s="58" t="s">
        <v>712</v>
      </c>
      <c r="I217" s="78" t="s">
        <v>397</v>
      </c>
      <c r="J217" s="78" t="s">
        <v>1193</v>
      </c>
      <c r="K217" s="20">
        <v>1</v>
      </c>
      <c r="L217" s="20">
        <v>1</v>
      </c>
      <c r="M217" s="20" t="s">
        <v>1095</v>
      </c>
      <c r="N217" s="59" t="s">
        <v>733</v>
      </c>
      <c r="O217" s="20" t="s">
        <v>14</v>
      </c>
      <c r="P217" s="20"/>
      <c r="Q217" s="20" t="s">
        <v>21</v>
      </c>
      <c r="R217" s="20" t="s">
        <v>15</v>
      </c>
      <c r="S217" s="20"/>
      <c r="T217" s="20" t="s">
        <v>393</v>
      </c>
      <c r="U217" s="20" t="s">
        <v>344</v>
      </c>
      <c r="V217" s="20" t="s">
        <v>792</v>
      </c>
      <c r="W217" s="20" t="s">
        <v>734</v>
      </c>
      <c r="X217" s="59" t="s">
        <v>797</v>
      </c>
      <c r="Y217" s="20" t="s">
        <v>717</v>
      </c>
      <c r="Z217" s="71">
        <v>0</v>
      </c>
      <c r="AA217" s="71">
        <v>27900</v>
      </c>
      <c r="AB217" s="71">
        <v>27900</v>
      </c>
      <c r="AC217" s="71">
        <v>27900</v>
      </c>
      <c r="AD217" s="105">
        <f t="shared" si="13"/>
        <v>27900</v>
      </c>
      <c r="AE217" s="121">
        <v>45873</v>
      </c>
    </row>
    <row r="218" spans="2:31" s="57" customFormat="1" x14ac:dyDescent="0.2">
      <c r="B218" s="12">
        <v>216</v>
      </c>
      <c r="C218" s="20">
        <v>2</v>
      </c>
      <c r="D218" s="20">
        <v>170040450</v>
      </c>
      <c r="E218" s="20" t="str">
        <f t="shared" ref="E218:E281" si="14">TRIM(D218)</f>
        <v>170040450</v>
      </c>
      <c r="F218" s="20" t="s">
        <v>422</v>
      </c>
      <c r="G218" s="59" t="s">
        <v>84</v>
      </c>
      <c r="H218" s="58" t="s">
        <v>712</v>
      </c>
      <c r="I218" s="78" t="s">
        <v>397</v>
      </c>
      <c r="J218" s="78" t="s">
        <v>1193</v>
      </c>
      <c r="K218" s="20">
        <v>1</v>
      </c>
      <c r="L218" s="20">
        <v>1</v>
      </c>
      <c r="M218" s="20" t="s">
        <v>1095</v>
      </c>
      <c r="N218" s="59" t="s">
        <v>733</v>
      </c>
      <c r="O218" s="20" t="s">
        <v>14</v>
      </c>
      <c r="P218" s="20"/>
      <c r="Q218" s="20" t="s">
        <v>21</v>
      </c>
      <c r="R218" s="20" t="s">
        <v>15</v>
      </c>
      <c r="S218" s="20"/>
      <c r="T218" s="20" t="s">
        <v>393</v>
      </c>
      <c r="U218" s="20" t="s">
        <v>344</v>
      </c>
      <c r="V218" s="20" t="s">
        <v>792</v>
      </c>
      <c r="W218" s="20" t="s">
        <v>734</v>
      </c>
      <c r="X218" s="59" t="s">
        <v>797</v>
      </c>
      <c r="Y218" s="20" t="s">
        <v>717</v>
      </c>
      <c r="Z218" s="71">
        <v>0</v>
      </c>
      <c r="AA218" s="71">
        <v>29250</v>
      </c>
      <c r="AB218" s="71">
        <v>29250</v>
      </c>
      <c r="AC218" s="71">
        <v>29250</v>
      </c>
      <c r="AD218" s="105">
        <f t="shared" si="13"/>
        <v>29250</v>
      </c>
      <c r="AE218" s="121">
        <v>45873</v>
      </c>
    </row>
    <row r="219" spans="2:31" s="57" customFormat="1" x14ac:dyDescent="0.2">
      <c r="B219" s="12">
        <v>217</v>
      </c>
      <c r="C219" s="20">
        <v>2</v>
      </c>
      <c r="D219" s="20">
        <v>170040470</v>
      </c>
      <c r="E219" s="20" t="str">
        <f t="shared" si="14"/>
        <v>170040470</v>
      </c>
      <c r="F219" s="20" t="s">
        <v>412</v>
      </c>
      <c r="G219" s="59" t="s">
        <v>84</v>
      </c>
      <c r="H219" s="58" t="s">
        <v>712</v>
      </c>
      <c r="I219" s="78" t="s">
        <v>397</v>
      </c>
      <c r="J219" s="78" t="s">
        <v>1193</v>
      </c>
      <c r="K219" s="20">
        <v>1</v>
      </c>
      <c r="L219" s="20">
        <v>1</v>
      </c>
      <c r="M219" s="20" t="s">
        <v>1095</v>
      </c>
      <c r="N219" s="59" t="s">
        <v>733</v>
      </c>
      <c r="O219" s="20" t="s">
        <v>14</v>
      </c>
      <c r="P219" s="20"/>
      <c r="Q219" s="20" t="s">
        <v>21</v>
      </c>
      <c r="R219" s="20" t="s">
        <v>15</v>
      </c>
      <c r="S219" s="20"/>
      <c r="T219" s="20" t="s">
        <v>393</v>
      </c>
      <c r="U219" s="20" t="s">
        <v>344</v>
      </c>
      <c r="V219" s="20" t="s">
        <v>792</v>
      </c>
      <c r="W219" s="20" t="s">
        <v>734</v>
      </c>
      <c r="X219" s="59" t="s">
        <v>797</v>
      </c>
      <c r="Y219" s="20" t="s">
        <v>717</v>
      </c>
      <c r="Z219" s="71">
        <v>0</v>
      </c>
      <c r="AA219" s="71">
        <v>6300</v>
      </c>
      <c r="AB219" s="71">
        <v>6300</v>
      </c>
      <c r="AC219" s="71">
        <v>6300</v>
      </c>
      <c r="AD219" s="105">
        <f t="shared" si="13"/>
        <v>6300</v>
      </c>
      <c r="AE219" s="121">
        <v>45873</v>
      </c>
    </row>
    <row r="220" spans="2:31" s="57" customFormat="1" x14ac:dyDescent="0.2">
      <c r="B220" s="12">
        <v>218</v>
      </c>
      <c r="C220" s="20">
        <v>2</v>
      </c>
      <c r="D220" s="20">
        <v>170040480</v>
      </c>
      <c r="E220" s="20" t="str">
        <f t="shared" si="14"/>
        <v>170040480</v>
      </c>
      <c r="F220" s="20" t="s">
        <v>422</v>
      </c>
      <c r="G220" s="59" t="s">
        <v>84</v>
      </c>
      <c r="H220" s="58" t="s">
        <v>712</v>
      </c>
      <c r="I220" s="78" t="s">
        <v>397</v>
      </c>
      <c r="J220" s="78" t="s">
        <v>1193</v>
      </c>
      <c r="K220" s="20">
        <v>2</v>
      </c>
      <c r="L220" s="20">
        <v>2</v>
      </c>
      <c r="M220" s="20" t="s">
        <v>1095</v>
      </c>
      <c r="N220" s="59" t="s">
        <v>733</v>
      </c>
      <c r="O220" s="20" t="s">
        <v>14</v>
      </c>
      <c r="P220" s="20"/>
      <c r="Q220" s="20" t="s">
        <v>18</v>
      </c>
      <c r="R220" s="20" t="s">
        <v>15</v>
      </c>
      <c r="S220" s="20"/>
      <c r="T220" s="20" t="s">
        <v>393</v>
      </c>
      <c r="U220" s="20" t="s">
        <v>344</v>
      </c>
      <c r="V220" s="20" t="s">
        <v>792</v>
      </c>
      <c r="W220" s="20" t="s">
        <v>734</v>
      </c>
      <c r="X220" s="59" t="s">
        <v>797</v>
      </c>
      <c r="Y220" s="20" t="s">
        <v>717</v>
      </c>
      <c r="Z220" s="71">
        <v>29174</v>
      </c>
      <c r="AA220" s="71">
        <v>27900</v>
      </c>
      <c r="AB220" s="71">
        <v>55800</v>
      </c>
      <c r="AC220" s="71">
        <v>27900</v>
      </c>
      <c r="AD220" s="105">
        <f t="shared" si="13"/>
        <v>55800</v>
      </c>
      <c r="AE220" s="121">
        <v>45873</v>
      </c>
    </row>
    <row r="221" spans="2:31" s="57" customFormat="1" x14ac:dyDescent="0.2">
      <c r="B221" s="12">
        <v>219</v>
      </c>
      <c r="C221" s="20">
        <v>2</v>
      </c>
      <c r="D221" s="20">
        <v>170040490</v>
      </c>
      <c r="E221" s="20" t="str">
        <f t="shared" si="14"/>
        <v>170040490</v>
      </c>
      <c r="F221" s="20" t="s">
        <v>422</v>
      </c>
      <c r="G221" s="59" t="s">
        <v>84</v>
      </c>
      <c r="H221" s="58" t="s">
        <v>712</v>
      </c>
      <c r="I221" s="78" t="s">
        <v>397</v>
      </c>
      <c r="J221" s="78" t="s">
        <v>1193</v>
      </c>
      <c r="K221" s="20">
        <v>2</v>
      </c>
      <c r="L221" s="20">
        <v>2</v>
      </c>
      <c r="M221" s="20" t="s">
        <v>1095</v>
      </c>
      <c r="N221" s="59" t="s">
        <v>733</v>
      </c>
      <c r="O221" s="20" t="s">
        <v>14</v>
      </c>
      <c r="P221" s="20"/>
      <c r="Q221" s="20" t="s">
        <v>18</v>
      </c>
      <c r="R221" s="20" t="s">
        <v>15</v>
      </c>
      <c r="S221" s="20"/>
      <c r="T221" s="20" t="s">
        <v>393</v>
      </c>
      <c r="U221" s="20" t="s">
        <v>344</v>
      </c>
      <c r="V221" s="20" t="s">
        <v>792</v>
      </c>
      <c r="W221" s="20" t="s">
        <v>734</v>
      </c>
      <c r="X221" s="59" t="s">
        <v>797</v>
      </c>
      <c r="Y221" s="20" t="s">
        <v>717</v>
      </c>
      <c r="Z221" s="71">
        <v>36453</v>
      </c>
      <c r="AA221" s="71">
        <v>35550</v>
      </c>
      <c r="AB221" s="71">
        <v>71100</v>
      </c>
      <c r="AC221" s="71">
        <v>35550</v>
      </c>
      <c r="AD221" s="105">
        <f t="shared" si="13"/>
        <v>71100</v>
      </c>
      <c r="AE221" s="121">
        <v>45873</v>
      </c>
    </row>
    <row r="222" spans="2:31" s="57" customFormat="1" x14ac:dyDescent="0.2">
      <c r="B222" s="12">
        <v>220</v>
      </c>
      <c r="C222" s="20">
        <v>2</v>
      </c>
      <c r="D222" s="20">
        <v>170040500</v>
      </c>
      <c r="E222" s="20" t="str">
        <f t="shared" si="14"/>
        <v>170040500</v>
      </c>
      <c r="F222" s="20" t="s">
        <v>422</v>
      </c>
      <c r="G222" s="59" t="s">
        <v>84</v>
      </c>
      <c r="H222" s="58" t="s">
        <v>712</v>
      </c>
      <c r="I222" s="78" t="s">
        <v>397</v>
      </c>
      <c r="J222" s="78" t="s">
        <v>1193</v>
      </c>
      <c r="K222" s="20">
        <v>2</v>
      </c>
      <c r="L222" s="20">
        <v>2</v>
      </c>
      <c r="M222" s="20" t="s">
        <v>1095</v>
      </c>
      <c r="N222" s="59" t="s">
        <v>733</v>
      </c>
      <c r="O222" s="20" t="s">
        <v>14</v>
      </c>
      <c r="P222" s="20"/>
      <c r="Q222" s="20" t="s">
        <v>18</v>
      </c>
      <c r="R222" s="20" t="s">
        <v>15</v>
      </c>
      <c r="S222" s="20"/>
      <c r="T222" s="20" t="s">
        <v>393</v>
      </c>
      <c r="U222" s="20" t="s">
        <v>344</v>
      </c>
      <c r="V222" s="20" t="s">
        <v>792</v>
      </c>
      <c r="W222" s="20" t="s">
        <v>734</v>
      </c>
      <c r="X222" s="59" t="s">
        <v>797</v>
      </c>
      <c r="Y222" s="20" t="s">
        <v>717</v>
      </c>
      <c r="Z222" s="71">
        <v>36453</v>
      </c>
      <c r="AA222" s="71">
        <v>35640</v>
      </c>
      <c r="AB222" s="71">
        <v>71280</v>
      </c>
      <c r="AC222" s="71">
        <v>35640</v>
      </c>
      <c r="AD222" s="105">
        <f t="shared" si="13"/>
        <v>71280</v>
      </c>
      <c r="AE222" s="121">
        <v>45873</v>
      </c>
    </row>
    <row r="223" spans="2:31" s="57" customFormat="1" x14ac:dyDescent="0.2">
      <c r="B223" s="12">
        <v>221</v>
      </c>
      <c r="C223" s="20">
        <v>2</v>
      </c>
      <c r="D223" s="20">
        <v>170088640</v>
      </c>
      <c r="E223" s="20" t="str">
        <f t="shared" si="14"/>
        <v>170088640</v>
      </c>
      <c r="F223" s="20" t="s">
        <v>410</v>
      </c>
      <c r="G223" s="59" t="s">
        <v>231</v>
      </c>
      <c r="H223" s="58" t="s">
        <v>712</v>
      </c>
      <c r="I223" s="78" t="s">
        <v>397</v>
      </c>
      <c r="J223" s="78" t="s">
        <v>1193</v>
      </c>
      <c r="K223" s="20">
        <v>1</v>
      </c>
      <c r="L223" s="20">
        <v>1</v>
      </c>
      <c r="M223" s="20" t="s">
        <v>1095</v>
      </c>
      <c r="N223" s="59" t="s">
        <v>712</v>
      </c>
      <c r="O223" s="20" t="s">
        <v>14</v>
      </c>
      <c r="P223" s="20"/>
      <c r="Q223" s="20" t="s">
        <v>21</v>
      </c>
      <c r="R223" s="20" t="s">
        <v>15</v>
      </c>
      <c r="S223" s="20"/>
      <c r="T223" s="20" t="s">
        <v>393</v>
      </c>
      <c r="U223" s="20" t="s">
        <v>344</v>
      </c>
      <c r="V223" s="20" t="s">
        <v>792</v>
      </c>
      <c r="W223" s="20" t="s">
        <v>819</v>
      </c>
      <c r="X223" s="59" t="s">
        <v>751</v>
      </c>
      <c r="Y223" s="20" t="s">
        <v>717</v>
      </c>
      <c r="Z223" s="71">
        <v>0</v>
      </c>
      <c r="AA223" s="71">
        <v>71000</v>
      </c>
      <c r="AB223" s="71">
        <v>71000</v>
      </c>
      <c r="AC223" s="71">
        <v>71000</v>
      </c>
      <c r="AD223" s="105">
        <f t="shared" si="13"/>
        <v>71000</v>
      </c>
      <c r="AE223" s="121">
        <v>45873</v>
      </c>
    </row>
    <row r="224" spans="2:31" s="57" customFormat="1" x14ac:dyDescent="0.2">
      <c r="B224" s="19">
        <v>222</v>
      </c>
      <c r="C224" s="18">
        <v>2</v>
      </c>
      <c r="D224" s="18">
        <v>170088650</v>
      </c>
      <c r="E224" s="18" t="str">
        <f t="shared" si="14"/>
        <v>170088650</v>
      </c>
      <c r="F224" s="18" t="s">
        <v>445</v>
      </c>
      <c r="G224" s="56" t="s">
        <v>233</v>
      </c>
      <c r="H224" s="55" t="s">
        <v>712</v>
      </c>
      <c r="I224" s="76" t="s">
        <v>397</v>
      </c>
      <c r="J224" s="76" t="s">
        <v>1193</v>
      </c>
      <c r="K224" s="18">
        <v>1</v>
      </c>
      <c r="L224" s="18">
        <v>1</v>
      </c>
      <c r="M224" s="18" t="s">
        <v>1095</v>
      </c>
      <c r="N224" s="56" t="s">
        <v>712</v>
      </c>
      <c r="O224" s="18" t="s">
        <v>14</v>
      </c>
      <c r="P224" s="18"/>
      <c r="Q224" s="18" t="s">
        <v>21</v>
      </c>
      <c r="R224" s="18" t="s">
        <v>38</v>
      </c>
      <c r="S224" s="18"/>
      <c r="T224" s="18" t="s">
        <v>393</v>
      </c>
      <c r="U224" s="18" t="s">
        <v>344</v>
      </c>
      <c r="V224" s="18" t="s">
        <v>792</v>
      </c>
      <c r="W224" s="18" t="s">
        <v>819</v>
      </c>
      <c r="X224" s="56" t="s">
        <v>751</v>
      </c>
      <c r="Y224" s="18" t="s">
        <v>717</v>
      </c>
      <c r="Z224" s="73">
        <v>0</v>
      </c>
      <c r="AA224" s="73">
        <v>62000</v>
      </c>
      <c r="AB224" s="73">
        <v>62000</v>
      </c>
      <c r="AC224" s="73">
        <v>62000</v>
      </c>
      <c r="AD224" s="110">
        <f t="shared" si="13"/>
        <v>62000</v>
      </c>
      <c r="AE224" s="121">
        <v>45873</v>
      </c>
    </row>
    <row r="225" spans="2:31" s="57" customFormat="1" x14ac:dyDescent="0.2">
      <c r="B225" s="12">
        <v>223</v>
      </c>
      <c r="C225" s="20">
        <v>2</v>
      </c>
      <c r="D225" s="20">
        <v>170088660</v>
      </c>
      <c r="E225" s="20" t="str">
        <f t="shared" si="14"/>
        <v>170088660</v>
      </c>
      <c r="F225" s="20" t="s">
        <v>463</v>
      </c>
      <c r="G225" s="59" t="s">
        <v>235</v>
      </c>
      <c r="H225" s="58" t="s">
        <v>712</v>
      </c>
      <c r="I225" s="78" t="s">
        <v>397</v>
      </c>
      <c r="J225" s="78" t="s">
        <v>1193</v>
      </c>
      <c r="K225" s="20">
        <v>1</v>
      </c>
      <c r="L225" s="20">
        <v>1</v>
      </c>
      <c r="M225" s="20" t="s">
        <v>1095</v>
      </c>
      <c r="N225" s="59" t="s">
        <v>712</v>
      </c>
      <c r="O225" s="20" t="s">
        <v>14</v>
      </c>
      <c r="P225" s="20"/>
      <c r="Q225" s="20" t="s">
        <v>21</v>
      </c>
      <c r="R225" s="20" t="s">
        <v>15</v>
      </c>
      <c r="S225" s="20"/>
      <c r="T225" s="20" t="s">
        <v>393</v>
      </c>
      <c r="U225" s="20" t="s">
        <v>344</v>
      </c>
      <c r="V225" s="20" t="s">
        <v>792</v>
      </c>
      <c r="W225" s="20" t="s">
        <v>819</v>
      </c>
      <c r="X225" s="59" t="s">
        <v>751</v>
      </c>
      <c r="Y225" s="20" t="s">
        <v>717</v>
      </c>
      <c r="Z225" s="71">
        <v>549028</v>
      </c>
      <c r="AA225" s="71">
        <v>468000</v>
      </c>
      <c r="AB225" s="71">
        <v>468000</v>
      </c>
      <c r="AC225" s="71">
        <v>468000</v>
      </c>
      <c r="AD225" s="105">
        <f t="shared" si="13"/>
        <v>468000</v>
      </c>
      <c r="AE225" s="121">
        <v>45873</v>
      </c>
    </row>
    <row r="226" spans="2:31" s="57" customFormat="1" x14ac:dyDescent="0.2">
      <c r="B226" s="12">
        <v>224</v>
      </c>
      <c r="C226" s="20">
        <v>2</v>
      </c>
      <c r="D226" s="20">
        <v>170116040</v>
      </c>
      <c r="E226" s="20" t="str">
        <f t="shared" si="14"/>
        <v>170116040</v>
      </c>
      <c r="F226" s="20" t="s">
        <v>410</v>
      </c>
      <c r="G226" s="59" t="s">
        <v>236</v>
      </c>
      <c r="H226" s="58" t="s">
        <v>727</v>
      </c>
      <c r="I226" s="78" t="s">
        <v>1137</v>
      </c>
      <c r="J226" s="78" t="s">
        <v>1193</v>
      </c>
      <c r="K226" s="20">
        <v>2</v>
      </c>
      <c r="L226" s="20">
        <v>2</v>
      </c>
      <c r="M226" s="20" t="s">
        <v>1095</v>
      </c>
      <c r="N226" s="59" t="s">
        <v>712</v>
      </c>
      <c r="O226" s="20" t="s">
        <v>14</v>
      </c>
      <c r="P226" s="20"/>
      <c r="Q226" s="20" t="s">
        <v>18</v>
      </c>
      <c r="R226" s="20" t="s">
        <v>15</v>
      </c>
      <c r="S226" s="20"/>
      <c r="T226" s="20" t="s">
        <v>393</v>
      </c>
      <c r="U226" s="20" t="s">
        <v>360</v>
      </c>
      <c r="V226" s="20" t="s">
        <v>722</v>
      </c>
      <c r="W226" s="59" t="s">
        <v>727</v>
      </c>
      <c r="X226" s="59" t="s">
        <v>798</v>
      </c>
      <c r="Y226" s="20" t="s">
        <v>717</v>
      </c>
      <c r="Z226" s="71">
        <v>0</v>
      </c>
      <c r="AA226" s="71">
        <v>7184</v>
      </c>
      <c r="AB226" s="71">
        <v>14368</v>
      </c>
      <c r="AC226" s="71">
        <v>7184</v>
      </c>
      <c r="AD226" s="105">
        <f t="shared" si="13"/>
        <v>14368</v>
      </c>
      <c r="AE226" s="118"/>
    </row>
    <row r="227" spans="2:31" s="57" customFormat="1" x14ac:dyDescent="0.2">
      <c r="B227" s="12">
        <v>225</v>
      </c>
      <c r="C227" s="20">
        <v>2</v>
      </c>
      <c r="D227" s="20">
        <v>170152477</v>
      </c>
      <c r="E227" s="20" t="str">
        <f t="shared" si="14"/>
        <v>170152477</v>
      </c>
      <c r="F227" s="20" t="s">
        <v>464</v>
      </c>
      <c r="G227" s="59" t="s">
        <v>238</v>
      </c>
      <c r="H227" s="58" t="s">
        <v>712</v>
      </c>
      <c r="I227" s="78" t="s">
        <v>397</v>
      </c>
      <c r="J227" s="78" t="s">
        <v>1193</v>
      </c>
      <c r="K227" s="20">
        <v>1</v>
      </c>
      <c r="L227" s="20">
        <v>1</v>
      </c>
      <c r="M227" s="20" t="s">
        <v>1095</v>
      </c>
      <c r="N227" s="59" t="s">
        <v>712</v>
      </c>
      <c r="O227" s="20" t="s">
        <v>14</v>
      </c>
      <c r="P227" s="20"/>
      <c r="Q227" s="20" t="s">
        <v>21</v>
      </c>
      <c r="R227" s="20" t="s">
        <v>38</v>
      </c>
      <c r="S227" s="20"/>
      <c r="T227" s="20" t="s">
        <v>393</v>
      </c>
      <c r="U227" s="20" t="s">
        <v>344</v>
      </c>
      <c r="V227" s="20" t="s">
        <v>792</v>
      </c>
      <c r="W227" s="20" t="s">
        <v>819</v>
      </c>
      <c r="X227" s="59" t="s">
        <v>751</v>
      </c>
      <c r="Y227" s="20" t="s">
        <v>717</v>
      </c>
      <c r="Z227" s="71">
        <v>715183.5</v>
      </c>
      <c r="AA227" s="71">
        <v>610000</v>
      </c>
      <c r="AB227" s="71">
        <v>610000</v>
      </c>
      <c r="AC227" s="71">
        <v>610000</v>
      </c>
      <c r="AD227" s="105">
        <f t="shared" si="13"/>
        <v>610000</v>
      </c>
      <c r="AE227" s="121">
        <v>45873</v>
      </c>
    </row>
    <row r="228" spans="2:31" s="57" customFormat="1" x14ac:dyDescent="0.2">
      <c r="B228" s="12">
        <v>226</v>
      </c>
      <c r="C228" s="20">
        <v>2</v>
      </c>
      <c r="D228" s="20">
        <v>170155415</v>
      </c>
      <c r="E228" s="20" t="str">
        <f t="shared" si="14"/>
        <v>170155415</v>
      </c>
      <c r="F228" s="20" t="s">
        <v>410</v>
      </c>
      <c r="G228" s="59" t="s">
        <v>239</v>
      </c>
      <c r="H228" s="58" t="s">
        <v>712</v>
      </c>
      <c r="I228" s="78" t="s">
        <v>397</v>
      </c>
      <c r="J228" s="78" t="s">
        <v>1193</v>
      </c>
      <c r="K228" s="20">
        <v>6</v>
      </c>
      <c r="L228" s="20">
        <v>6</v>
      </c>
      <c r="M228" s="20" t="s">
        <v>1095</v>
      </c>
      <c r="N228" s="59" t="s">
        <v>733</v>
      </c>
      <c r="O228" s="20" t="s">
        <v>14</v>
      </c>
      <c r="P228" s="20"/>
      <c r="Q228" s="20" t="s">
        <v>200</v>
      </c>
      <c r="R228" s="20" t="s">
        <v>15</v>
      </c>
      <c r="S228" s="20"/>
      <c r="T228" s="20" t="s">
        <v>393</v>
      </c>
      <c r="U228" s="20" t="s">
        <v>344</v>
      </c>
      <c r="V228" s="20" t="s">
        <v>792</v>
      </c>
      <c r="W228" s="20" t="s">
        <v>734</v>
      </c>
      <c r="X228" s="59" t="s">
        <v>797</v>
      </c>
      <c r="Y228" s="20" t="s">
        <v>717</v>
      </c>
      <c r="Z228" s="71">
        <v>0</v>
      </c>
      <c r="AA228" s="71">
        <v>14040</v>
      </c>
      <c r="AB228" s="71">
        <v>84240</v>
      </c>
      <c r="AC228" s="71">
        <v>14040</v>
      </c>
      <c r="AD228" s="105">
        <f t="shared" si="13"/>
        <v>84240</v>
      </c>
      <c r="AE228" s="121">
        <v>45873</v>
      </c>
    </row>
    <row r="229" spans="2:31" s="57" customFormat="1" x14ac:dyDescent="0.2">
      <c r="B229" s="12">
        <v>227</v>
      </c>
      <c r="C229" s="20">
        <v>2</v>
      </c>
      <c r="D229" s="20">
        <v>170159378</v>
      </c>
      <c r="E229" s="20" t="str">
        <f t="shared" si="14"/>
        <v>170159378</v>
      </c>
      <c r="F229" s="20" t="s">
        <v>410</v>
      </c>
      <c r="G229" s="59" t="s">
        <v>240</v>
      </c>
      <c r="H229" s="58" t="s">
        <v>712</v>
      </c>
      <c r="I229" s="78" t="s">
        <v>397</v>
      </c>
      <c r="J229" s="78" t="s">
        <v>1193</v>
      </c>
      <c r="K229" s="20">
        <v>1</v>
      </c>
      <c r="L229" s="20">
        <v>1</v>
      </c>
      <c r="M229" s="20" t="s">
        <v>1095</v>
      </c>
      <c r="N229" s="59" t="s">
        <v>712</v>
      </c>
      <c r="O229" s="20" t="s">
        <v>14</v>
      </c>
      <c r="P229" s="20"/>
      <c r="Q229" s="20" t="s">
        <v>21</v>
      </c>
      <c r="R229" s="20" t="s">
        <v>15</v>
      </c>
      <c r="S229" s="20"/>
      <c r="T229" s="20" t="s">
        <v>393</v>
      </c>
      <c r="U229" s="20" t="s">
        <v>344</v>
      </c>
      <c r="V229" s="20" t="s">
        <v>792</v>
      </c>
      <c r="W229" s="20" t="s">
        <v>819</v>
      </c>
      <c r="X229" s="59" t="s">
        <v>751</v>
      </c>
      <c r="Y229" s="20" t="s">
        <v>717</v>
      </c>
      <c r="Z229" s="71">
        <v>0</v>
      </c>
      <c r="AA229" s="71">
        <v>16000</v>
      </c>
      <c r="AB229" s="71">
        <v>16000</v>
      </c>
      <c r="AC229" s="71">
        <v>16000</v>
      </c>
      <c r="AD229" s="105">
        <f t="shared" si="13"/>
        <v>16000</v>
      </c>
      <c r="AE229" s="121">
        <v>45873</v>
      </c>
    </row>
    <row r="230" spans="2:31" s="57" customFormat="1" x14ac:dyDescent="0.2">
      <c r="B230" s="12">
        <v>228</v>
      </c>
      <c r="C230" s="20">
        <v>2</v>
      </c>
      <c r="D230" s="20">
        <v>170168368</v>
      </c>
      <c r="E230" s="20" t="str">
        <f t="shared" si="14"/>
        <v>170168368</v>
      </c>
      <c r="F230" s="20" t="s">
        <v>410</v>
      </c>
      <c r="G230" s="59" t="s">
        <v>241</v>
      </c>
      <c r="H230" s="58" t="s">
        <v>712</v>
      </c>
      <c r="I230" s="78" t="s">
        <v>397</v>
      </c>
      <c r="J230" s="78" t="s">
        <v>1193</v>
      </c>
      <c r="K230" s="20">
        <v>1</v>
      </c>
      <c r="L230" s="20">
        <v>1</v>
      </c>
      <c r="M230" s="20" t="s">
        <v>1095</v>
      </c>
      <c r="N230" s="59" t="s">
        <v>712</v>
      </c>
      <c r="O230" s="20" t="s">
        <v>14</v>
      </c>
      <c r="P230" s="20"/>
      <c r="Q230" s="20" t="s">
        <v>21</v>
      </c>
      <c r="R230" s="20" t="s">
        <v>15</v>
      </c>
      <c r="S230" s="20"/>
      <c r="T230" s="20" t="s">
        <v>393</v>
      </c>
      <c r="U230" s="20" t="s">
        <v>344</v>
      </c>
      <c r="V230" s="20" t="s">
        <v>792</v>
      </c>
      <c r="W230" s="20" t="s">
        <v>819</v>
      </c>
      <c r="X230" s="59" t="s">
        <v>751</v>
      </c>
      <c r="Y230" s="20" t="s">
        <v>717</v>
      </c>
      <c r="Z230" s="71">
        <v>0</v>
      </c>
      <c r="AA230" s="71">
        <v>16000</v>
      </c>
      <c r="AB230" s="71">
        <v>16000</v>
      </c>
      <c r="AC230" s="71">
        <v>16000</v>
      </c>
      <c r="AD230" s="105">
        <f t="shared" si="13"/>
        <v>16000</v>
      </c>
      <c r="AE230" s="121">
        <v>45873</v>
      </c>
    </row>
    <row r="231" spans="2:31" s="57" customFormat="1" x14ac:dyDescent="0.2">
      <c r="B231" s="12">
        <v>229</v>
      </c>
      <c r="C231" s="20">
        <v>2</v>
      </c>
      <c r="D231" s="20">
        <v>170174646</v>
      </c>
      <c r="E231" s="20" t="str">
        <f t="shared" si="14"/>
        <v>170174646</v>
      </c>
      <c r="F231" s="20" t="s">
        <v>410</v>
      </c>
      <c r="G231" s="59" t="s">
        <v>242</v>
      </c>
      <c r="H231" s="58" t="s">
        <v>712</v>
      </c>
      <c r="I231" s="78" t="s">
        <v>397</v>
      </c>
      <c r="J231" s="78" t="s">
        <v>1193</v>
      </c>
      <c r="K231" s="20">
        <v>1</v>
      </c>
      <c r="L231" s="20">
        <v>1</v>
      </c>
      <c r="M231" s="20" t="s">
        <v>1095</v>
      </c>
      <c r="N231" s="59" t="s">
        <v>712</v>
      </c>
      <c r="O231" s="20" t="s">
        <v>14</v>
      </c>
      <c r="P231" s="20"/>
      <c r="Q231" s="20" t="s">
        <v>21</v>
      </c>
      <c r="R231" s="20" t="s">
        <v>15</v>
      </c>
      <c r="S231" s="20"/>
      <c r="T231" s="20" t="s">
        <v>393</v>
      </c>
      <c r="U231" s="20" t="s">
        <v>344</v>
      </c>
      <c r="V231" s="20" t="s">
        <v>792</v>
      </c>
      <c r="W231" s="20" t="s">
        <v>819</v>
      </c>
      <c r="X231" s="59" t="s">
        <v>751</v>
      </c>
      <c r="Y231" s="20" t="s">
        <v>717</v>
      </c>
      <c r="Z231" s="71">
        <v>0</v>
      </c>
      <c r="AA231" s="71">
        <v>16000</v>
      </c>
      <c r="AB231" s="71">
        <v>16000</v>
      </c>
      <c r="AC231" s="71">
        <v>16000</v>
      </c>
      <c r="AD231" s="105">
        <f t="shared" si="13"/>
        <v>16000</v>
      </c>
      <c r="AE231" s="121">
        <v>45873</v>
      </c>
    </row>
    <row r="232" spans="2:31" s="57" customFormat="1" x14ac:dyDescent="0.2">
      <c r="B232" s="12">
        <v>230</v>
      </c>
      <c r="C232" s="20">
        <v>2</v>
      </c>
      <c r="D232" s="20">
        <v>170176252</v>
      </c>
      <c r="E232" s="20" t="str">
        <f t="shared" si="14"/>
        <v>170176252</v>
      </c>
      <c r="F232" s="20" t="s">
        <v>465</v>
      </c>
      <c r="G232" s="59" t="s">
        <v>244</v>
      </c>
      <c r="H232" s="58" t="s">
        <v>727</v>
      </c>
      <c r="I232" s="78" t="s">
        <v>1137</v>
      </c>
      <c r="J232" s="78" t="s">
        <v>1193</v>
      </c>
      <c r="K232" s="20">
        <v>1</v>
      </c>
      <c r="L232" s="20">
        <v>1</v>
      </c>
      <c r="M232" s="20" t="s">
        <v>1095</v>
      </c>
      <c r="N232" s="59" t="s">
        <v>712</v>
      </c>
      <c r="O232" s="20" t="s">
        <v>14</v>
      </c>
      <c r="P232" s="20"/>
      <c r="Q232" s="20" t="s">
        <v>21</v>
      </c>
      <c r="R232" s="20" t="s">
        <v>15</v>
      </c>
      <c r="S232" s="20"/>
      <c r="T232" s="20" t="s">
        <v>393</v>
      </c>
      <c r="U232" s="20" t="s">
        <v>360</v>
      </c>
      <c r="V232" s="20" t="s">
        <v>722</v>
      </c>
      <c r="W232" s="59" t="s">
        <v>727</v>
      </c>
      <c r="X232" s="59" t="s">
        <v>798</v>
      </c>
      <c r="Y232" s="20" t="s">
        <v>717</v>
      </c>
      <c r="Z232" s="71">
        <v>0</v>
      </c>
      <c r="AA232" s="71">
        <v>13584</v>
      </c>
      <c r="AB232" s="71">
        <v>13584</v>
      </c>
      <c r="AC232" s="71">
        <v>13584</v>
      </c>
      <c r="AD232" s="105">
        <f t="shared" si="13"/>
        <v>13584</v>
      </c>
      <c r="AE232" s="118"/>
    </row>
    <row r="233" spans="2:31" s="57" customFormat="1" x14ac:dyDescent="0.2">
      <c r="B233" s="15">
        <v>231</v>
      </c>
      <c r="C233" s="11">
        <v>2</v>
      </c>
      <c r="D233" s="11">
        <v>190005705</v>
      </c>
      <c r="E233" s="11" t="str">
        <f t="shared" si="14"/>
        <v>190005705</v>
      </c>
      <c r="F233" s="11" t="s">
        <v>466</v>
      </c>
      <c r="G233" s="48" t="s">
        <v>246</v>
      </c>
      <c r="H233" s="47" t="s">
        <v>712</v>
      </c>
      <c r="I233" s="77" t="s">
        <v>1137</v>
      </c>
      <c r="J233" s="77" t="s">
        <v>1137</v>
      </c>
      <c r="K233" s="11">
        <v>1</v>
      </c>
      <c r="L233" s="11">
        <v>1</v>
      </c>
      <c r="M233" s="11" t="s">
        <v>1095</v>
      </c>
      <c r="N233" s="48" t="s">
        <v>1137</v>
      </c>
      <c r="O233" s="11" t="s">
        <v>14</v>
      </c>
      <c r="P233" s="11"/>
      <c r="Q233" s="11" t="s">
        <v>21</v>
      </c>
      <c r="R233" s="11" t="s">
        <v>15</v>
      </c>
      <c r="S233" s="11"/>
      <c r="T233" s="11" t="s">
        <v>354</v>
      </c>
      <c r="U233" s="11" t="s">
        <v>354</v>
      </c>
      <c r="V233" s="11"/>
      <c r="W233" s="48"/>
      <c r="X233" s="48"/>
      <c r="Y233" s="11"/>
      <c r="Z233" s="70"/>
      <c r="AA233" s="70"/>
      <c r="AB233" s="70"/>
      <c r="AC233" s="70"/>
      <c r="AD233" s="108"/>
      <c r="AE233" s="118"/>
    </row>
    <row r="234" spans="2:31" s="57" customFormat="1" x14ac:dyDescent="0.2">
      <c r="B234" s="12">
        <v>232</v>
      </c>
      <c r="C234" s="20">
        <v>3</v>
      </c>
      <c r="D234" s="20">
        <v>340001808</v>
      </c>
      <c r="E234" s="20" t="str">
        <f t="shared" si="14"/>
        <v>340001808</v>
      </c>
      <c r="F234" s="20" t="s">
        <v>422</v>
      </c>
      <c r="G234" s="59" t="s">
        <v>247</v>
      </c>
      <c r="H234" s="58" t="s">
        <v>1161</v>
      </c>
      <c r="I234" s="78" t="s">
        <v>1209</v>
      </c>
      <c r="J234" s="78" t="s">
        <v>1193</v>
      </c>
      <c r="K234" s="20">
        <v>1</v>
      </c>
      <c r="L234" s="20">
        <v>1</v>
      </c>
      <c r="M234" s="20" t="s">
        <v>1095</v>
      </c>
      <c r="N234" s="59" t="s">
        <v>718</v>
      </c>
      <c r="O234" s="20" t="s">
        <v>127</v>
      </c>
      <c r="P234" s="20"/>
      <c r="Q234" s="20" t="s">
        <v>21</v>
      </c>
      <c r="R234" s="20" t="s">
        <v>15</v>
      </c>
      <c r="S234" s="20"/>
      <c r="T234" s="20" t="s">
        <v>346</v>
      </c>
      <c r="U234" s="20" t="s">
        <v>346</v>
      </c>
      <c r="V234" s="20" t="s">
        <v>721</v>
      </c>
      <c r="W234" s="59" t="s">
        <v>852</v>
      </c>
      <c r="X234" s="59" t="s">
        <v>854</v>
      </c>
      <c r="Y234" s="20" t="s">
        <v>843</v>
      </c>
      <c r="Z234" s="71">
        <v>0</v>
      </c>
      <c r="AA234" s="71">
        <v>128.16999999999999</v>
      </c>
      <c r="AB234" s="71">
        <v>185846.49999999997</v>
      </c>
      <c r="AC234" s="71">
        <v>128.16999999999999</v>
      </c>
      <c r="AD234" s="105">
        <f>($Y$1*$AC234)*$K234</f>
        <v>173798.52</v>
      </c>
      <c r="AE234" s="118"/>
    </row>
    <row r="235" spans="2:31" s="57" customFormat="1" x14ac:dyDescent="0.2">
      <c r="B235" s="12">
        <v>233</v>
      </c>
      <c r="C235" s="20">
        <v>3</v>
      </c>
      <c r="D235" s="20">
        <v>7500022</v>
      </c>
      <c r="E235" s="20" t="str">
        <f t="shared" si="14"/>
        <v>7500022</v>
      </c>
      <c r="F235" s="20" t="s">
        <v>467</v>
      </c>
      <c r="G235" s="59" t="s">
        <v>249</v>
      </c>
      <c r="H235" s="58" t="s">
        <v>867</v>
      </c>
      <c r="I235" s="78" t="s">
        <v>1174</v>
      </c>
      <c r="J235" s="78" t="s">
        <v>1193</v>
      </c>
      <c r="K235" s="20">
        <v>0</v>
      </c>
      <c r="L235" s="20">
        <v>0</v>
      </c>
      <c r="M235" s="20" t="s">
        <v>1080</v>
      </c>
      <c r="N235" s="59" t="s">
        <v>718</v>
      </c>
      <c r="O235" s="20" t="s">
        <v>68</v>
      </c>
      <c r="P235" s="20"/>
      <c r="Q235" s="20" t="s">
        <v>25</v>
      </c>
      <c r="R235" s="20" t="s">
        <v>15</v>
      </c>
      <c r="S235" s="20"/>
      <c r="T235" s="20" t="s">
        <v>346</v>
      </c>
      <c r="U235" s="20" t="s">
        <v>346</v>
      </c>
      <c r="V235" s="20" t="s">
        <v>1245</v>
      </c>
      <c r="W235" s="59" t="s">
        <v>811</v>
      </c>
      <c r="X235" s="59" t="s">
        <v>854</v>
      </c>
      <c r="Y235" s="20" t="s">
        <v>717</v>
      </c>
      <c r="Z235" s="71">
        <v>0</v>
      </c>
      <c r="AA235" s="71">
        <v>3993</v>
      </c>
      <c r="AB235" s="71">
        <v>0</v>
      </c>
      <c r="AC235" s="71">
        <v>3993</v>
      </c>
      <c r="AD235" s="105">
        <v>0</v>
      </c>
      <c r="AE235" s="118"/>
    </row>
    <row r="236" spans="2:31" s="57" customFormat="1" x14ac:dyDescent="0.2">
      <c r="B236" s="12">
        <v>234</v>
      </c>
      <c r="C236" s="20">
        <v>3</v>
      </c>
      <c r="D236" s="20">
        <v>7500024</v>
      </c>
      <c r="E236" s="20" t="str">
        <f t="shared" si="14"/>
        <v>7500024</v>
      </c>
      <c r="F236" s="20" t="s">
        <v>468</v>
      </c>
      <c r="G236" s="59" t="s">
        <v>251</v>
      </c>
      <c r="H236" s="58" t="s">
        <v>867</v>
      </c>
      <c r="I236" s="78" t="s">
        <v>1210</v>
      </c>
      <c r="J236" s="78" t="s">
        <v>1193</v>
      </c>
      <c r="K236" s="20">
        <v>0</v>
      </c>
      <c r="L236" s="20">
        <v>0</v>
      </c>
      <c r="M236" s="20" t="s">
        <v>1080</v>
      </c>
      <c r="N236" s="59" t="s">
        <v>720</v>
      </c>
      <c r="O236" s="20" t="s">
        <v>70</v>
      </c>
      <c r="P236" s="20"/>
      <c r="Q236" s="20" t="s">
        <v>25</v>
      </c>
      <c r="R236" s="20" t="s">
        <v>15</v>
      </c>
      <c r="S236" s="20"/>
      <c r="T236" s="20" t="s">
        <v>346</v>
      </c>
      <c r="U236" s="20" t="s">
        <v>346</v>
      </c>
      <c r="V236" s="20" t="s">
        <v>1243</v>
      </c>
      <c r="W236" s="59" t="s">
        <v>811</v>
      </c>
      <c r="X236" s="59" t="s">
        <v>712</v>
      </c>
      <c r="Y236" s="20" t="s">
        <v>717</v>
      </c>
      <c r="Z236" s="71">
        <v>0</v>
      </c>
      <c r="AA236" s="71">
        <v>4677</v>
      </c>
      <c r="AB236" s="71">
        <v>0</v>
      </c>
      <c r="AC236" s="71">
        <v>4677</v>
      </c>
      <c r="AD236" s="105">
        <v>0</v>
      </c>
      <c r="AE236" s="118"/>
    </row>
    <row r="237" spans="2:31" s="57" customFormat="1" x14ac:dyDescent="0.2">
      <c r="B237" s="49">
        <v>235</v>
      </c>
      <c r="C237" s="50">
        <v>3</v>
      </c>
      <c r="D237" s="50">
        <v>860005057</v>
      </c>
      <c r="E237" s="50" t="str">
        <f t="shared" si="14"/>
        <v>860005057</v>
      </c>
      <c r="F237" s="50" t="s">
        <v>447</v>
      </c>
      <c r="G237" s="52" t="s">
        <v>252</v>
      </c>
      <c r="H237" s="51" t="s">
        <v>712</v>
      </c>
      <c r="I237" s="79" t="s">
        <v>1137</v>
      </c>
      <c r="J237" s="79" t="s">
        <v>1137</v>
      </c>
      <c r="K237" s="50">
        <v>0</v>
      </c>
      <c r="L237" s="50">
        <v>0</v>
      </c>
      <c r="M237" s="50" t="s">
        <v>1083</v>
      </c>
      <c r="N237" s="52" t="s">
        <v>712</v>
      </c>
      <c r="O237" s="50" t="s">
        <v>83</v>
      </c>
      <c r="P237" s="50"/>
      <c r="Q237" s="50" t="s">
        <v>25</v>
      </c>
      <c r="R237" s="50" t="s">
        <v>15</v>
      </c>
      <c r="S237" s="50"/>
      <c r="T237" s="50" t="s">
        <v>352</v>
      </c>
      <c r="U237" s="50" t="s">
        <v>352</v>
      </c>
      <c r="V237" s="50" t="s">
        <v>712</v>
      </c>
      <c r="W237" s="52" t="s">
        <v>712</v>
      </c>
      <c r="X237" s="52" t="s">
        <v>712</v>
      </c>
      <c r="Y237" s="50" t="s">
        <v>717</v>
      </c>
      <c r="Z237" s="72">
        <v>0</v>
      </c>
      <c r="AA237" s="72">
        <v>0</v>
      </c>
      <c r="AB237" s="72">
        <v>0</v>
      </c>
      <c r="AC237" s="72">
        <v>0</v>
      </c>
      <c r="AD237" s="109">
        <v>0</v>
      </c>
      <c r="AE237" s="118"/>
    </row>
    <row r="238" spans="2:31" s="57" customFormat="1" x14ac:dyDescent="0.2">
      <c r="B238" s="49">
        <v>236</v>
      </c>
      <c r="C238" s="50">
        <v>3</v>
      </c>
      <c r="D238" s="50">
        <v>8600780</v>
      </c>
      <c r="E238" s="50" t="str">
        <f t="shared" si="14"/>
        <v>8600780</v>
      </c>
      <c r="F238" s="50" t="s">
        <v>446</v>
      </c>
      <c r="G238" s="52" t="s">
        <v>156</v>
      </c>
      <c r="H238" s="51" t="s">
        <v>712</v>
      </c>
      <c r="I238" s="79" t="s">
        <v>397</v>
      </c>
      <c r="J238" s="79" t="s">
        <v>1193</v>
      </c>
      <c r="K238" s="50">
        <v>0</v>
      </c>
      <c r="L238" s="50">
        <v>0</v>
      </c>
      <c r="M238" s="50" t="s">
        <v>1081</v>
      </c>
      <c r="N238" s="52" t="s">
        <v>712</v>
      </c>
      <c r="O238" s="50" t="s">
        <v>106</v>
      </c>
      <c r="P238" s="50"/>
      <c r="Q238" s="50" t="s">
        <v>25</v>
      </c>
      <c r="R238" s="50" t="s">
        <v>38</v>
      </c>
      <c r="S238" s="50"/>
      <c r="T238" s="50" t="s">
        <v>352</v>
      </c>
      <c r="U238" s="50" t="s">
        <v>352</v>
      </c>
      <c r="V238" s="50" t="s">
        <v>712</v>
      </c>
      <c r="W238" s="52" t="s">
        <v>712</v>
      </c>
      <c r="X238" s="52" t="s">
        <v>712</v>
      </c>
      <c r="Y238" s="50" t="s">
        <v>717</v>
      </c>
      <c r="Z238" s="72">
        <v>0</v>
      </c>
      <c r="AA238" s="72">
        <v>0</v>
      </c>
      <c r="AB238" s="72">
        <v>0</v>
      </c>
      <c r="AC238" s="72">
        <v>0</v>
      </c>
      <c r="AD238" s="109">
        <v>0</v>
      </c>
      <c r="AE238" s="118"/>
    </row>
    <row r="239" spans="2:31" s="57" customFormat="1" x14ac:dyDescent="0.2">
      <c r="B239" s="49">
        <v>237</v>
      </c>
      <c r="C239" s="50">
        <v>3</v>
      </c>
      <c r="D239" s="50">
        <v>8800222</v>
      </c>
      <c r="E239" s="50" t="str">
        <f t="shared" si="14"/>
        <v>8800222</v>
      </c>
      <c r="F239" s="50" t="s">
        <v>452</v>
      </c>
      <c r="G239" s="52" t="s">
        <v>177</v>
      </c>
      <c r="H239" s="51" t="s">
        <v>712</v>
      </c>
      <c r="I239" s="79" t="s">
        <v>1193</v>
      </c>
      <c r="J239" s="79" t="s">
        <v>1193</v>
      </c>
      <c r="K239" s="50">
        <v>0</v>
      </c>
      <c r="L239" s="50">
        <v>0</v>
      </c>
      <c r="M239" s="50" t="s">
        <v>1076</v>
      </c>
      <c r="N239" s="52" t="s">
        <v>712</v>
      </c>
      <c r="O239" s="50" t="s">
        <v>76</v>
      </c>
      <c r="P239" s="50"/>
      <c r="Q239" s="50" t="s">
        <v>25</v>
      </c>
      <c r="R239" s="50" t="s">
        <v>38</v>
      </c>
      <c r="S239" s="50"/>
      <c r="T239" s="50" t="s">
        <v>352</v>
      </c>
      <c r="U239" s="50" t="s">
        <v>352</v>
      </c>
      <c r="V239" s="50" t="s">
        <v>712</v>
      </c>
      <c r="W239" s="52" t="s">
        <v>712</v>
      </c>
      <c r="X239" s="52" t="s">
        <v>712</v>
      </c>
      <c r="Y239" s="50" t="s">
        <v>717</v>
      </c>
      <c r="Z239" s="72">
        <v>0</v>
      </c>
      <c r="AA239" s="72">
        <v>0</v>
      </c>
      <c r="AB239" s="72">
        <v>0</v>
      </c>
      <c r="AC239" s="72">
        <v>0</v>
      </c>
      <c r="AD239" s="109">
        <v>0</v>
      </c>
      <c r="AE239" s="118"/>
    </row>
    <row r="240" spans="2:31" s="57" customFormat="1" ht="40.5" x14ac:dyDescent="0.2">
      <c r="B240" s="12">
        <v>238</v>
      </c>
      <c r="C240" s="20">
        <v>3</v>
      </c>
      <c r="D240" s="20">
        <v>900000755</v>
      </c>
      <c r="E240" s="20" t="str">
        <f t="shared" si="14"/>
        <v>900000755</v>
      </c>
      <c r="F240" s="20" t="s">
        <v>469</v>
      </c>
      <c r="G240" s="59" t="s">
        <v>254</v>
      </c>
      <c r="H240" s="58" t="s">
        <v>774</v>
      </c>
      <c r="I240" s="78" t="s">
        <v>742</v>
      </c>
      <c r="J240" s="78" t="s">
        <v>1193</v>
      </c>
      <c r="K240" s="20">
        <v>2</v>
      </c>
      <c r="L240" s="20">
        <v>2</v>
      </c>
      <c r="M240" s="20" t="s">
        <v>1095</v>
      </c>
      <c r="N240" s="59" t="s">
        <v>720</v>
      </c>
      <c r="O240" s="20" t="s">
        <v>77</v>
      </c>
      <c r="P240" s="20"/>
      <c r="Q240" s="20" t="s">
        <v>18</v>
      </c>
      <c r="R240" s="20" t="s">
        <v>15</v>
      </c>
      <c r="S240" s="20"/>
      <c r="T240" s="20" t="s">
        <v>346</v>
      </c>
      <c r="U240" s="20" t="s">
        <v>346</v>
      </c>
      <c r="V240" s="20" t="s">
        <v>722</v>
      </c>
      <c r="W240" s="59" t="s">
        <v>727</v>
      </c>
      <c r="X240" s="59" t="s">
        <v>846</v>
      </c>
      <c r="Y240" s="20" t="s">
        <v>717</v>
      </c>
      <c r="Z240" s="71">
        <v>0</v>
      </c>
      <c r="AA240" s="71">
        <v>580</v>
      </c>
      <c r="AB240" s="71">
        <v>1160</v>
      </c>
      <c r="AC240" s="71">
        <v>580</v>
      </c>
      <c r="AD240" s="105">
        <f>$AC240*$K240</f>
        <v>1160</v>
      </c>
      <c r="AE240" s="118"/>
    </row>
    <row r="241" spans="2:31" s="57" customFormat="1" ht="40.5" x14ac:dyDescent="0.2">
      <c r="B241" s="12">
        <v>239</v>
      </c>
      <c r="C241" s="20">
        <v>3</v>
      </c>
      <c r="D241" s="20">
        <v>900001259</v>
      </c>
      <c r="E241" s="20" t="str">
        <f t="shared" si="14"/>
        <v>900001259</v>
      </c>
      <c r="F241" s="20" t="s">
        <v>470</v>
      </c>
      <c r="G241" s="59" t="s">
        <v>256</v>
      </c>
      <c r="H241" s="58" t="s">
        <v>774</v>
      </c>
      <c r="I241" s="78" t="s">
        <v>743</v>
      </c>
      <c r="J241" s="78" t="s">
        <v>1193</v>
      </c>
      <c r="K241" s="20">
        <v>10</v>
      </c>
      <c r="L241" s="20">
        <v>10</v>
      </c>
      <c r="M241" s="20" t="s">
        <v>1095</v>
      </c>
      <c r="N241" s="59" t="s">
        <v>720</v>
      </c>
      <c r="O241" s="20" t="s">
        <v>96</v>
      </c>
      <c r="P241" s="20"/>
      <c r="Q241" s="20" t="s">
        <v>257</v>
      </c>
      <c r="R241" s="20" t="s">
        <v>15</v>
      </c>
      <c r="S241" s="20"/>
      <c r="T241" s="20" t="s">
        <v>346</v>
      </c>
      <c r="U241" s="20" t="s">
        <v>346</v>
      </c>
      <c r="V241" s="20" t="s">
        <v>722</v>
      </c>
      <c r="W241" s="59" t="s">
        <v>727</v>
      </c>
      <c r="X241" s="59" t="s">
        <v>846</v>
      </c>
      <c r="Y241" s="20" t="s">
        <v>717</v>
      </c>
      <c r="Z241" s="71">
        <v>0</v>
      </c>
      <c r="AA241" s="71">
        <v>560</v>
      </c>
      <c r="AB241" s="71">
        <v>5600</v>
      </c>
      <c r="AC241" s="71">
        <v>560</v>
      </c>
      <c r="AD241" s="105">
        <f>$AC241*$K241</f>
        <v>5600</v>
      </c>
      <c r="AE241" s="118"/>
    </row>
    <row r="242" spans="2:31" s="57" customFormat="1" x14ac:dyDescent="0.2">
      <c r="B242" s="15">
        <v>240</v>
      </c>
      <c r="C242" s="11">
        <v>2</v>
      </c>
      <c r="D242" s="11">
        <v>190005706</v>
      </c>
      <c r="E242" s="11" t="str">
        <f t="shared" si="14"/>
        <v>190005706</v>
      </c>
      <c r="F242" s="11" t="s">
        <v>466</v>
      </c>
      <c r="G242" s="48" t="s">
        <v>258</v>
      </c>
      <c r="H242" s="47" t="s">
        <v>712</v>
      </c>
      <c r="I242" s="77" t="s">
        <v>1137</v>
      </c>
      <c r="J242" s="77" t="s">
        <v>1137</v>
      </c>
      <c r="K242" s="11">
        <v>1</v>
      </c>
      <c r="L242" s="11">
        <v>1</v>
      </c>
      <c r="M242" s="11" t="s">
        <v>1095</v>
      </c>
      <c r="N242" s="48" t="s">
        <v>1193</v>
      </c>
      <c r="O242" s="11" t="s">
        <v>14</v>
      </c>
      <c r="P242" s="11"/>
      <c r="Q242" s="11" t="s">
        <v>21</v>
      </c>
      <c r="R242" s="11" t="s">
        <v>15</v>
      </c>
      <c r="S242" s="11"/>
      <c r="T242" s="11" t="s">
        <v>354</v>
      </c>
      <c r="U242" s="11" t="s">
        <v>354</v>
      </c>
      <c r="V242" s="11"/>
      <c r="W242" s="48"/>
      <c r="X242" s="48"/>
      <c r="Y242" s="11"/>
      <c r="Z242" s="70"/>
      <c r="AA242" s="70"/>
      <c r="AB242" s="70"/>
      <c r="AC242" s="70"/>
      <c r="AD242" s="108"/>
      <c r="AE242" s="118"/>
    </row>
    <row r="243" spans="2:31" s="57" customFormat="1" x14ac:dyDescent="0.2">
      <c r="B243" s="12">
        <v>241</v>
      </c>
      <c r="C243" s="20">
        <v>3</v>
      </c>
      <c r="D243" s="20">
        <v>340001808</v>
      </c>
      <c r="E243" s="20" t="str">
        <f t="shared" si="14"/>
        <v>340001808</v>
      </c>
      <c r="F243" s="20" t="s">
        <v>422</v>
      </c>
      <c r="G243" s="59" t="s">
        <v>247</v>
      </c>
      <c r="H243" s="58" t="s">
        <v>1161</v>
      </c>
      <c r="I243" s="78" t="s">
        <v>1209</v>
      </c>
      <c r="J243" s="78" t="s">
        <v>1193</v>
      </c>
      <c r="K243" s="20">
        <v>1</v>
      </c>
      <c r="L243" s="20">
        <v>1</v>
      </c>
      <c r="M243" s="20" t="s">
        <v>1095</v>
      </c>
      <c r="N243" s="59" t="s">
        <v>718</v>
      </c>
      <c r="O243" s="20" t="s">
        <v>127</v>
      </c>
      <c r="P243" s="20"/>
      <c r="Q243" s="20" t="s">
        <v>21</v>
      </c>
      <c r="R243" s="20" t="s">
        <v>15</v>
      </c>
      <c r="S243" s="20"/>
      <c r="T243" s="20" t="s">
        <v>346</v>
      </c>
      <c r="U243" s="20" t="s">
        <v>346</v>
      </c>
      <c r="V243" s="20" t="s">
        <v>721</v>
      </c>
      <c r="W243" s="59" t="s">
        <v>852</v>
      </c>
      <c r="X243" s="59" t="s">
        <v>854</v>
      </c>
      <c r="Y243" s="20" t="s">
        <v>843</v>
      </c>
      <c r="Z243" s="71">
        <v>0</v>
      </c>
      <c r="AA243" s="71">
        <v>128.16999999999999</v>
      </c>
      <c r="AB243" s="71">
        <v>185846.49999999997</v>
      </c>
      <c r="AC243" s="71">
        <v>128.16999999999999</v>
      </c>
      <c r="AD243" s="105">
        <f>($Y$1*$AC243)*$K243</f>
        <v>173798.52</v>
      </c>
      <c r="AE243" s="118"/>
    </row>
    <row r="244" spans="2:31" s="57" customFormat="1" x14ac:dyDescent="0.2">
      <c r="B244" s="12">
        <v>242</v>
      </c>
      <c r="C244" s="20">
        <v>3</v>
      </c>
      <c r="D244" s="20">
        <v>3402935</v>
      </c>
      <c r="E244" s="20" t="str">
        <f t="shared" si="14"/>
        <v>3402935</v>
      </c>
      <c r="F244" s="20" t="s">
        <v>410</v>
      </c>
      <c r="G244" s="59" t="s">
        <v>259</v>
      </c>
      <c r="H244" s="58" t="s">
        <v>856</v>
      </c>
      <c r="I244" s="78" t="s">
        <v>870</v>
      </c>
      <c r="J244" s="78" t="s">
        <v>1193</v>
      </c>
      <c r="K244" s="20">
        <v>3</v>
      </c>
      <c r="L244" s="20">
        <v>3</v>
      </c>
      <c r="M244" s="20" t="s">
        <v>1095</v>
      </c>
      <c r="N244" s="59" t="s">
        <v>719</v>
      </c>
      <c r="O244" s="20" t="s">
        <v>260</v>
      </c>
      <c r="P244" s="20"/>
      <c r="Q244" s="20" t="s">
        <v>74</v>
      </c>
      <c r="R244" s="20" t="s">
        <v>15</v>
      </c>
      <c r="S244" s="20"/>
      <c r="T244" s="20" t="s">
        <v>346</v>
      </c>
      <c r="U244" s="20" t="s">
        <v>346</v>
      </c>
      <c r="V244" s="20" t="s">
        <v>738</v>
      </c>
      <c r="W244" s="59" t="s">
        <v>853</v>
      </c>
      <c r="X244" s="59" t="s">
        <v>855</v>
      </c>
      <c r="Y244" s="20" t="s">
        <v>717</v>
      </c>
      <c r="Z244" s="71">
        <v>0</v>
      </c>
      <c r="AA244" s="71">
        <v>1070</v>
      </c>
      <c r="AB244" s="71">
        <v>3210</v>
      </c>
      <c r="AC244" s="71">
        <v>1070</v>
      </c>
      <c r="AD244" s="110">
        <f>$AC244*$K244</f>
        <v>3210</v>
      </c>
      <c r="AE244" s="118">
        <v>45877</v>
      </c>
    </row>
    <row r="245" spans="2:31" s="57" customFormat="1" x14ac:dyDescent="0.2">
      <c r="B245" s="12">
        <v>243</v>
      </c>
      <c r="C245" s="20">
        <v>3</v>
      </c>
      <c r="D245" s="20">
        <v>7500022</v>
      </c>
      <c r="E245" s="20" t="str">
        <f t="shared" si="14"/>
        <v>7500022</v>
      </c>
      <c r="F245" s="20" t="s">
        <v>467</v>
      </c>
      <c r="G245" s="59" t="s">
        <v>249</v>
      </c>
      <c r="H245" s="58" t="s">
        <v>867</v>
      </c>
      <c r="I245" s="78" t="s">
        <v>1173</v>
      </c>
      <c r="J245" s="78" t="s">
        <v>1193</v>
      </c>
      <c r="K245" s="20">
        <v>0</v>
      </c>
      <c r="L245" s="20">
        <v>0</v>
      </c>
      <c r="M245" s="20" t="s">
        <v>1077</v>
      </c>
      <c r="N245" s="59" t="s">
        <v>718</v>
      </c>
      <c r="O245" s="20" t="s">
        <v>70</v>
      </c>
      <c r="P245" s="20"/>
      <c r="Q245" s="20" t="s">
        <v>25</v>
      </c>
      <c r="R245" s="20" t="s">
        <v>15</v>
      </c>
      <c r="S245" s="20"/>
      <c r="T245" s="20" t="s">
        <v>346</v>
      </c>
      <c r="U245" s="20" t="s">
        <v>346</v>
      </c>
      <c r="V245" s="20" t="s">
        <v>1245</v>
      </c>
      <c r="W245" s="59" t="s">
        <v>811</v>
      </c>
      <c r="X245" s="59" t="s">
        <v>854</v>
      </c>
      <c r="Y245" s="20" t="s">
        <v>717</v>
      </c>
      <c r="Z245" s="71">
        <v>0</v>
      </c>
      <c r="AA245" s="71">
        <v>3993</v>
      </c>
      <c r="AB245" s="71">
        <v>0</v>
      </c>
      <c r="AC245" s="71">
        <v>3993</v>
      </c>
      <c r="AD245" s="105">
        <v>0</v>
      </c>
      <c r="AE245" s="118"/>
    </row>
    <row r="246" spans="2:31" s="57" customFormat="1" x14ac:dyDescent="0.2">
      <c r="B246" s="12">
        <v>244</v>
      </c>
      <c r="C246" s="20">
        <v>3</v>
      </c>
      <c r="D246" s="20">
        <v>7500024</v>
      </c>
      <c r="E246" s="20" t="str">
        <f t="shared" si="14"/>
        <v>7500024</v>
      </c>
      <c r="F246" s="20" t="s">
        <v>468</v>
      </c>
      <c r="G246" s="59" t="s">
        <v>251</v>
      </c>
      <c r="H246" s="58" t="s">
        <v>867</v>
      </c>
      <c r="I246" s="78" t="s">
        <v>1210</v>
      </c>
      <c r="J246" s="78" t="s">
        <v>1193</v>
      </c>
      <c r="K246" s="20">
        <v>0</v>
      </c>
      <c r="L246" s="20">
        <v>0</v>
      </c>
      <c r="M246" s="20" t="s">
        <v>1077</v>
      </c>
      <c r="N246" s="59" t="s">
        <v>720</v>
      </c>
      <c r="O246" s="20" t="s">
        <v>83</v>
      </c>
      <c r="P246" s="20"/>
      <c r="Q246" s="20" t="s">
        <v>25</v>
      </c>
      <c r="R246" s="20" t="s">
        <v>15</v>
      </c>
      <c r="S246" s="20"/>
      <c r="T246" s="20" t="s">
        <v>346</v>
      </c>
      <c r="U246" s="20" t="s">
        <v>346</v>
      </c>
      <c r="V246" s="20" t="s">
        <v>1243</v>
      </c>
      <c r="W246" s="59" t="s">
        <v>811</v>
      </c>
      <c r="X246" s="59" t="s">
        <v>712</v>
      </c>
      <c r="Y246" s="20" t="s">
        <v>717</v>
      </c>
      <c r="Z246" s="71">
        <v>0</v>
      </c>
      <c r="AA246" s="71">
        <v>4677</v>
      </c>
      <c r="AB246" s="71">
        <v>0</v>
      </c>
      <c r="AC246" s="71">
        <v>4677</v>
      </c>
      <c r="AD246" s="105">
        <v>0</v>
      </c>
      <c r="AE246" s="118"/>
    </row>
    <row r="247" spans="2:31" s="57" customFormat="1" x14ac:dyDescent="0.2">
      <c r="B247" s="49">
        <v>245</v>
      </c>
      <c r="C247" s="50">
        <v>3</v>
      </c>
      <c r="D247" s="50">
        <v>860005057</v>
      </c>
      <c r="E247" s="50" t="str">
        <f t="shared" si="14"/>
        <v>860005057</v>
      </c>
      <c r="F247" s="50" t="s">
        <v>447</v>
      </c>
      <c r="G247" s="52" t="s">
        <v>403</v>
      </c>
      <c r="H247" s="51" t="s">
        <v>712</v>
      </c>
      <c r="I247" s="79" t="s">
        <v>1137</v>
      </c>
      <c r="J247" s="79" t="s">
        <v>1137</v>
      </c>
      <c r="K247" s="50">
        <v>0</v>
      </c>
      <c r="L247" s="50">
        <v>0</v>
      </c>
      <c r="M247" s="50" t="s">
        <v>1076</v>
      </c>
      <c r="N247" s="52" t="s">
        <v>712</v>
      </c>
      <c r="O247" s="50" t="s">
        <v>76</v>
      </c>
      <c r="P247" s="50"/>
      <c r="Q247" s="50" t="s">
        <v>25</v>
      </c>
      <c r="R247" s="50" t="s">
        <v>15</v>
      </c>
      <c r="S247" s="50"/>
      <c r="T247" s="50" t="s">
        <v>352</v>
      </c>
      <c r="U247" s="50" t="s">
        <v>352</v>
      </c>
      <c r="V247" s="50" t="s">
        <v>712</v>
      </c>
      <c r="W247" s="52" t="s">
        <v>712</v>
      </c>
      <c r="X247" s="52" t="s">
        <v>712</v>
      </c>
      <c r="Y247" s="50" t="s">
        <v>717</v>
      </c>
      <c r="Z247" s="72">
        <v>0</v>
      </c>
      <c r="AA247" s="72">
        <v>0</v>
      </c>
      <c r="AB247" s="72">
        <v>0</v>
      </c>
      <c r="AC247" s="72">
        <v>0</v>
      </c>
      <c r="AD247" s="109">
        <v>0</v>
      </c>
      <c r="AE247" s="118"/>
    </row>
    <row r="248" spans="2:31" s="57" customFormat="1" x14ac:dyDescent="0.2">
      <c r="B248" s="49">
        <v>246</v>
      </c>
      <c r="C248" s="50">
        <v>3</v>
      </c>
      <c r="D248" s="50">
        <v>8600780</v>
      </c>
      <c r="E248" s="50" t="str">
        <f t="shared" si="14"/>
        <v>8600780</v>
      </c>
      <c r="F248" s="50" t="s">
        <v>446</v>
      </c>
      <c r="G248" s="52" t="s">
        <v>156</v>
      </c>
      <c r="H248" s="51" t="s">
        <v>712</v>
      </c>
      <c r="I248" s="79" t="s">
        <v>397</v>
      </c>
      <c r="J248" s="79" t="s">
        <v>1193</v>
      </c>
      <c r="K248" s="50">
        <v>0</v>
      </c>
      <c r="L248" s="50">
        <v>0</v>
      </c>
      <c r="M248" s="50" t="s">
        <v>1080</v>
      </c>
      <c r="N248" s="52" t="s">
        <v>712</v>
      </c>
      <c r="O248" s="50" t="s">
        <v>77</v>
      </c>
      <c r="P248" s="50"/>
      <c r="Q248" s="50" t="s">
        <v>25</v>
      </c>
      <c r="R248" s="50" t="s">
        <v>38</v>
      </c>
      <c r="S248" s="50"/>
      <c r="T248" s="50" t="s">
        <v>352</v>
      </c>
      <c r="U248" s="50" t="s">
        <v>352</v>
      </c>
      <c r="V248" s="50" t="s">
        <v>712</v>
      </c>
      <c r="W248" s="52" t="s">
        <v>712</v>
      </c>
      <c r="X248" s="52" t="s">
        <v>712</v>
      </c>
      <c r="Y248" s="50" t="s">
        <v>717</v>
      </c>
      <c r="Z248" s="72">
        <v>0</v>
      </c>
      <c r="AA248" s="72">
        <v>0</v>
      </c>
      <c r="AB248" s="72">
        <v>0</v>
      </c>
      <c r="AC248" s="72">
        <v>0</v>
      </c>
      <c r="AD248" s="109">
        <v>0</v>
      </c>
      <c r="AE248" s="118"/>
    </row>
    <row r="249" spans="2:31" s="57" customFormat="1" x14ac:dyDescent="0.2">
      <c r="B249" s="49">
        <v>247</v>
      </c>
      <c r="C249" s="50">
        <v>3</v>
      </c>
      <c r="D249" s="50">
        <v>8800222</v>
      </c>
      <c r="E249" s="50" t="str">
        <f t="shared" si="14"/>
        <v>8800222</v>
      </c>
      <c r="F249" s="50" t="s">
        <v>452</v>
      </c>
      <c r="G249" s="52" t="s">
        <v>177</v>
      </c>
      <c r="H249" s="51" t="s">
        <v>712</v>
      </c>
      <c r="I249" s="79" t="s">
        <v>1193</v>
      </c>
      <c r="J249" s="79" t="s">
        <v>1193</v>
      </c>
      <c r="K249" s="50">
        <v>0</v>
      </c>
      <c r="L249" s="50">
        <v>0</v>
      </c>
      <c r="M249" s="50" t="s">
        <v>1076</v>
      </c>
      <c r="N249" s="52" t="s">
        <v>712</v>
      </c>
      <c r="O249" s="50" t="s">
        <v>93</v>
      </c>
      <c r="P249" s="50"/>
      <c r="Q249" s="50" t="s">
        <v>25</v>
      </c>
      <c r="R249" s="50" t="s">
        <v>38</v>
      </c>
      <c r="S249" s="50"/>
      <c r="T249" s="50" t="s">
        <v>352</v>
      </c>
      <c r="U249" s="50" t="s">
        <v>352</v>
      </c>
      <c r="V249" s="50" t="s">
        <v>712</v>
      </c>
      <c r="W249" s="52" t="s">
        <v>712</v>
      </c>
      <c r="X249" s="52" t="s">
        <v>712</v>
      </c>
      <c r="Y249" s="50" t="s">
        <v>717</v>
      </c>
      <c r="Z249" s="72">
        <v>0</v>
      </c>
      <c r="AA249" s="72">
        <v>0</v>
      </c>
      <c r="AB249" s="72">
        <v>0</v>
      </c>
      <c r="AC249" s="72">
        <v>0</v>
      </c>
      <c r="AD249" s="109">
        <v>0</v>
      </c>
      <c r="AE249" s="118"/>
    </row>
    <row r="250" spans="2:31" s="57" customFormat="1" ht="40.5" x14ac:dyDescent="0.2">
      <c r="B250" s="12">
        <v>248</v>
      </c>
      <c r="C250" s="20">
        <v>3</v>
      </c>
      <c r="D250" s="20">
        <v>900000755</v>
      </c>
      <c r="E250" s="20" t="str">
        <f t="shared" si="14"/>
        <v>900000755</v>
      </c>
      <c r="F250" s="20" t="s">
        <v>469</v>
      </c>
      <c r="G250" s="59" t="s">
        <v>254</v>
      </c>
      <c r="H250" s="58" t="s">
        <v>774</v>
      </c>
      <c r="I250" s="78" t="s">
        <v>742</v>
      </c>
      <c r="J250" s="78" t="s">
        <v>1193</v>
      </c>
      <c r="K250" s="20">
        <v>4</v>
      </c>
      <c r="L250" s="20">
        <v>4</v>
      </c>
      <c r="M250" s="20" t="s">
        <v>1095</v>
      </c>
      <c r="N250" s="59" t="s">
        <v>720</v>
      </c>
      <c r="O250" s="20" t="s">
        <v>96</v>
      </c>
      <c r="P250" s="20"/>
      <c r="Q250" s="20" t="s">
        <v>55</v>
      </c>
      <c r="R250" s="20" t="s">
        <v>15</v>
      </c>
      <c r="S250" s="20"/>
      <c r="T250" s="20" t="s">
        <v>346</v>
      </c>
      <c r="U250" s="20" t="s">
        <v>346</v>
      </c>
      <c r="V250" s="20" t="s">
        <v>722</v>
      </c>
      <c r="W250" s="59" t="s">
        <v>727</v>
      </c>
      <c r="X250" s="59" t="s">
        <v>846</v>
      </c>
      <c r="Y250" s="20" t="s">
        <v>717</v>
      </c>
      <c r="Z250" s="71">
        <v>0</v>
      </c>
      <c r="AA250" s="71">
        <v>580</v>
      </c>
      <c r="AB250" s="71">
        <v>1160</v>
      </c>
      <c r="AC250" s="71">
        <v>580</v>
      </c>
      <c r="AD250" s="105">
        <f>$AC250*$K250</f>
        <v>2320</v>
      </c>
      <c r="AE250" s="118"/>
    </row>
    <row r="251" spans="2:31" s="57" customFormat="1" x14ac:dyDescent="0.2">
      <c r="B251" s="12">
        <v>249</v>
      </c>
      <c r="C251" s="20">
        <v>3</v>
      </c>
      <c r="D251" s="20">
        <v>900000756</v>
      </c>
      <c r="E251" s="20" t="str">
        <f t="shared" si="14"/>
        <v>900000756</v>
      </c>
      <c r="F251" s="20" t="s">
        <v>422</v>
      </c>
      <c r="G251" s="59" t="s">
        <v>256</v>
      </c>
      <c r="H251" s="58" t="s">
        <v>774</v>
      </c>
      <c r="I251" s="78" t="s">
        <v>871</v>
      </c>
      <c r="J251" s="78" t="s">
        <v>1193</v>
      </c>
      <c r="K251" s="20">
        <v>2</v>
      </c>
      <c r="L251" s="20">
        <v>2</v>
      </c>
      <c r="M251" s="20" t="s">
        <v>1095</v>
      </c>
      <c r="N251" s="59" t="s">
        <v>720</v>
      </c>
      <c r="O251" s="20" t="s">
        <v>72</v>
      </c>
      <c r="P251" s="20"/>
      <c r="Q251" s="20" t="s">
        <v>18</v>
      </c>
      <c r="R251" s="20" t="s">
        <v>15</v>
      </c>
      <c r="S251" s="20"/>
      <c r="T251" s="20" t="s">
        <v>346</v>
      </c>
      <c r="U251" s="20" t="s">
        <v>346</v>
      </c>
      <c r="V251" s="20" t="s">
        <v>722</v>
      </c>
      <c r="W251" s="59" t="s">
        <v>727</v>
      </c>
      <c r="X251" s="59" t="s">
        <v>846</v>
      </c>
      <c r="Y251" s="20" t="s">
        <v>717</v>
      </c>
      <c r="Z251" s="71">
        <v>0</v>
      </c>
      <c r="AA251" s="71">
        <v>580</v>
      </c>
      <c r="AB251" s="71">
        <v>1160</v>
      </c>
      <c r="AC251" s="71">
        <v>580</v>
      </c>
      <c r="AD251" s="105">
        <f>$AC251*$K251</f>
        <v>1160</v>
      </c>
      <c r="AE251" s="118"/>
    </row>
    <row r="252" spans="2:31" s="57" customFormat="1" x14ac:dyDescent="0.2">
      <c r="B252" s="15">
        <v>250</v>
      </c>
      <c r="C252" s="11">
        <v>2</v>
      </c>
      <c r="D252" s="11">
        <v>190005707</v>
      </c>
      <c r="E252" s="11" t="str">
        <f t="shared" si="14"/>
        <v>190005707</v>
      </c>
      <c r="F252" s="11" t="s">
        <v>471</v>
      </c>
      <c r="G252" s="48" t="s">
        <v>262</v>
      </c>
      <c r="H252" s="47" t="s">
        <v>712</v>
      </c>
      <c r="I252" s="77" t="s">
        <v>1137</v>
      </c>
      <c r="J252" s="77" t="s">
        <v>1137</v>
      </c>
      <c r="K252" s="11">
        <v>1</v>
      </c>
      <c r="L252" s="11">
        <v>1</v>
      </c>
      <c r="M252" s="11" t="s">
        <v>1095</v>
      </c>
      <c r="N252" s="48" t="s">
        <v>1137</v>
      </c>
      <c r="O252" s="11" t="s">
        <v>14</v>
      </c>
      <c r="P252" s="11"/>
      <c r="Q252" s="11" t="s">
        <v>21</v>
      </c>
      <c r="R252" s="11" t="s">
        <v>15</v>
      </c>
      <c r="S252" s="11"/>
      <c r="T252" s="11" t="s">
        <v>354</v>
      </c>
      <c r="U252" s="11" t="s">
        <v>354</v>
      </c>
      <c r="V252" s="11"/>
      <c r="W252" s="48"/>
      <c r="X252" s="48"/>
      <c r="Y252" s="11"/>
      <c r="Z252" s="70"/>
      <c r="AA252" s="70"/>
      <c r="AB252" s="70"/>
      <c r="AC252" s="70"/>
      <c r="AD252" s="108"/>
      <c r="AE252" s="118"/>
    </row>
    <row r="253" spans="2:31" s="57" customFormat="1" x14ac:dyDescent="0.2">
      <c r="B253" s="12">
        <v>251</v>
      </c>
      <c r="C253" s="20">
        <v>3</v>
      </c>
      <c r="D253" s="20">
        <v>340001808</v>
      </c>
      <c r="E253" s="20" t="str">
        <f t="shared" si="14"/>
        <v>340001808</v>
      </c>
      <c r="F253" s="20" t="s">
        <v>422</v>
      </c>
      <c r="G253" s="59" t="s">
        <v>247</v>
      </c>
      <c r="H253" s="58" t="s">
        <v>1161</v>
      </c>
      <c r="I253" s="78" t="s">
        <v>1209</v>
      </c>
      <c r="J253" s="78" t="s">
        <v>1193</v>
      </c>
      <c r="K253" s="20">
        <v>1</v>
      </c>
      <c r="L253" s="20">
        <v>1</v>
      </c>
      <c r="M253" s="20" t="s">
        <v>1095</v>
      </c>
      <c r="N253" s="59" t="s">
        <v>718</v>
      </c>
      <c r="O253" s="20" t="s">
        <v>127</v>
      </c>
      <c r="P253" s="20"/>
      <c r="Q253" s="20" t="s">
        <v>21</v>
      </c>
      <c r="R253" s="20" t="s">
        <v>15</v>
      </c>
      <c r="S253" s="20"/>
      <c r="T253" s="20" t="s">
        <v>346</v>
      </c>
      <c r="U253" s="20" t="s">
        <v>346</v>
      </c>
      <c r="V253" s="20" t="s">
        <v>721</v>
      </c>
      <c r="W253" s="59" t="s">
        <v>852</v>
      </c>
      <c r="X253" s="59" t="s">
        <v>854</v>
      </c>
      <c r="Y253" s="20" t="s">
        <v>843</v>
      </c>
      <c r="Z253" s="71">
        <v>0</v>
      </c>
      <c r="AA253" s="71">
        <v>128.16999999999999</v>
      </c>
      <c r="AB253" s="71">
        <v>185846.49999999997</v>
      </c>
      <c r="AC253" s="71">
        <v>128.16999999999999</v>
      </c>
      <c r="AD253" s="105">
        <f>($Y$1*$AC253)*$K253</f>
        <v>173798.52</v>
      </c>
      <c r="AE253" s="118"/>
    </row>
    <row r="254" spans="2:31" s="57" customFormat="1" x14ac:dyDescent="0.2">
      <c r="B254" s="12">
        <v>252</v>
      </c>
      <c r="C254" s="20">
        <v>3</v>
      </c>
      <c r="D254" s="20">
        <v>3402836</v>
      </c>
      <c r="E254" s="20" t="str">
        <f t="shared" si="14"/>
        <v>3402836</v>
      </c>
      <c r="F254" s="20" t="s">
        <v>422</v>
      </c>
      <c r="G254" s="59" t="s">
        <v>263</v>
      </c>
      <c r="H254" s="58" t="s">
        <v>856</v>
      </c>
      <c r="I254" s="78" t="s">
        <v>1202</v>
      </c>
      <c r="J254" s="78" t="s">
        <v>1193</v>
      </c>
      <c r="K254" s="20">
        <v>2</v>
      </c>
      <c r="L254" s="20">
        <v>2</v>
      </c>
      <c r="M254" s="20" t="s">
        <v>1095</v>
      </c>
      <c r="N254" s="59" t="s">
        <v>718</v>
      </c>
      <c r="O254" s="20" t="s">
        <v>68</v>
      </c>
      <c r="P254" s="20"/>
      <c r="Q254" s="20" t="s">
        <v>18</v>
      </c>
      <c r="R254" s="20" t="s">
        <v>15</v>
      </c>
      <c r="S254" s="20"/>
      <c r="T254" s="20" t="s">
        <v>346</v>
      </c>
      <c r="U254" s="20" t="s">
        <v>346</v>
      </c>
      <c r="V254" s="20" t="s">
        <v>738</v>
      </c>
      <c r="W254" s="59" t="s">
        <v>853</v>
      </c>
      <c r="X254" s="59" t="s">
        <v>855</v>
      </c>
      <c r="Y254" s="20" t="s">
        <v>717</v>
      </c>
      <c r="Z254" s="71">
        <v>0</v>
      </c>
      <c r="AA254" s="71">
        <v>1260</v>
      </c>
      <c r="AB254" s="71">
        <v>2520</v>
      </c>
      <c r="AC254" s="71">
        <v>1260</v>
      </c>
      <c r="AD254" s="110">
        <f>$AC254*$K254</f>
        <v>2520</v>
      </c>
      <c r="AE254" s="118">
        <v>45877</v>
      </c>
    </row>
    <row r="255" spans="2:31" s="57" customFormat="1" x14ac:dyDescent="0.2">
      <c r="B255" s="12">
        <v>253</v>
      </c>
      <c r="C255" s="20">
        <v>3</v>
      </c>
      <c r="D255" s="20">
        <v>7500021</v>
      </c>
      <c r="E255" s="20" t="str">
        <f t="shared" si="14"/>
        <v>7500021</v>
      </c>
      <c r="F255" s="20" t="s">
        <v>472</v>
      </c>
      <c r="G255" s="59" t="s">
        <v>265</v>
      </c>
      <c r="H255" s="58" t="s">
        <v>1227</v>
      </c>
      <c r="I255" s="78" t="s">
        <v>1177</v>
      </c>
      <c r="J255" s="78" t="s">
        <v>1193</v>
      </c>
      <c r="K255" s="20">
        <v>0</v>
      </c>
      <c r="L255" s="20">
        <v>0</v>
      </c>
      <c r="M255" s="20" t="s">
        <v>1080</v>
      </c>
      <c r="N255" s="59" t="s">
        <v>720</v>
      </c>
      <c r="O255" s="20" t="s">
        <v>70</v>
      </c>
      <c r="P255" s="20"/>
      <c r="Q255" s="20" t="s">
        <v>25</v>
      </c>
      <c r="R255" s="20" t="s">
        <v>15</v>
      </c>
      <c r="S255" s="20"/>
      <c r="T255" s="20" t="s">
        <v>346</v>
      </c>
      <c r="U255" s="20" t="s">
        <v>346</v>
      </c>
      <c r="V255" s="20" t="s">
        <v>836</v>
      </c>
      <c r="W255" s="59" t="s">
        <v>838</v>
      </c>
      <c r="X255" s="59" t="s">
        <v>1175</v>
      </c>
      <c r="Y255" s="20" t="s">
        <v>717</v>
      </c>
      <c r="Z255" s="71">
        <v>0</v>
      </c>
      <c r="AA255" s="71">
        <v>265</v>
      </c>
      <c r="AB255" s="71">
        <v>0</v>
      </c>
      <c r="AC255" s="71">
        <v>265</v>
      </c>
      <c r="AD255" s="105">
        <v>0</v>
      </c>
      <c r="AE255" s="118"/>
    </row>
    <row r="256" spans="2:31" s="57" customFormat="1" x14ac:dyDescent="0.2">
      <c r="B256" s="49">
        <v>254</v>
      </c>
      <c r="C256" s="50">
        <v>3</v>
      </c>
      <c r="D256" s="50">
        <v>7500022</v>
      </c>
      <c r="E256" s="50" t="str">
        <f t="shared" si="14"/>
        <v>7500022</v>
      </c>
      <c r="F256" s="50" t="s">
        <v>467</v>
      </c>
      <c r="G256" s="52" t="s">
        <v>249</v>
      </c>
      <c r="H256" s="51" t="s">
        <v>867</v>
      </c>
      <c r="I256" s="79" t="s">
        <v>1173</v>
      </c>
      <c r="J256" s="79" t="s">
        <v>1193</v>
      </c>
      <c r="K256" s="50">
        <v>0</v>
      </c>
      <c r="L256" s="50">
        <v>0</v>
      </c>
      <c r="M256" s="50" t="s">
        <v>1080</v>
      </c>
      <c r="N256" s="52" t="s">
        <v>718</v>
      </c>
      <c r="O256" s="50" t="s">
        <v>83</v>
      </c>
      <c r="P256" s="50"/>
      <c r="Q256" s="50" t="s">
        <v>25</v>
      </c>
      <c r="R256" s="50" t="s">
        <v>15</v>
      </c>
      <c r="S256" s="50"/>
      <c r="T256" s="50" t="s">
        <v>352</v>
      </c>
      <c r="U256" s="50" t="s">
        <v>352</v>
      </c>
      <c r="V256" s="50" t="s">
        <v>1245</v>
      </c>
      <c r="W256" s="52" t="s">
        <v>811</v>
      </c>
      <c r="X256" s="52" t="s">
        <v>854</v>
      </c>
      <c r="Y256" s="50" t="s">
        <v>717</v>
      </c>
      <c r="Z256" s="72">
        <v>0</v>
      </c>
      <c r="AA256" s="72">
        <v>3993</v>
      </c>
      <c r="AB256" s="72">
        <v>0</v>
      </c>
      <c r="AC256" s="72">
        <v>3993</v>
      </c>
      <c r="AD256" s="109">
        <v>0</v>
      </c>
      <c r="AE256" s="118"/>
    </row>
    <row r="257" spans="2:31" s="57" customFormat="1" x14ac:dyDescent="0.2">
      <c r="B257" s="49">
        <v>255</v>
      </c>
      <c r="C257" s="50">
        <v>3</v>
      </c>
      <c r="D257" s="50">
        <v>7500024</v>
      </c>
      <c r="E257" s="50" t="str">
        <f t="shared" si="14"/>
        <v>7500024</v>
      </c>
      <c r="F257" s="50" t="s">
        <v>468</v>
      </c>
      <c r="G257" s="52" t="s">
        <v>251</v>
      </c>
      <c r="H257" s="51" t="s">
        <v>867</v>
      </c>
      <c r="I257" s="79" t="s">
        <v>1211</v>
      </c>
      <c r="J257" s="79" t="s">
        <v>1193</v>
      </c>
      <c r="K257" s="50">
        <v>0</v>
      </c>
      <c r="L257" s="50">
        <v>0</v>
      </c>
      <c r="M257" s="50" t="s">
        <v>1076</v>
      </c>
      <c r="N257" s="52" t="s">
        <v>720</v>
      </c>
      <c r="O257" s="50" t="s">
        <v>106</v>
      </c>
      <c r="P257" s="50"/>
      <c r="Q257" s="50" t="s">
        <v>25</v>
      </c>
      <c r="R257" s="50" t="s">
        <v>15</v>
      </c>
      <c r="S257" s="50"/>
      <c r="T257" s="50" t="s">
        <v>352</v>
      </c>
      <c r="U257" s="50" t="s">
        <v>352</v>
      </c>
      <c r="V257" s="50" t="s">
        <v>1243</v>
      </c>
      <c r="W257" s="52" t="s">
        <v>811</v>
      </c>
      <c r="X257" s="52" t="s">
        <v>712</v>
      </c>
      <c r="Y257" s="50" t="s">
        <v>717</v>
      </c>
      <c r="Z257" s="72">
        <v>0</v>
      </c>
      <c r="AA257" s="72">
        <v>4677</v>
      </c>
      <c r="AB257" s="72">
        <v>0</v>
      </c>
      <c r="AC257" s="72">
        <v>4677</v>
      </c>
      <c r="AD257" s="109">
        <v>0</v>
      </c>
      <c r="AE257" s="118"/>
    </row>
    <row r="258" spans="2:31" s="57" customFormat="1" x14ac:dyDescent="0.2">
      <c r="B258" s="12">
        <v>256</v>
      </c>
      <c r="C258" s="20">
        <v>3</v>
      </c>
      <c r="D258" s="20" t="s">
        <v>381</v>
      </c>
      <c r="E258" s="20" t="str">
        <f t="shared" si="14"/>
        <v>7641-0001-0406</v>
      </c>
      <c r="F258" s="20" t="s">
        <v>473</v>
      </c>
      <c r="G258" s="59" t="s">
        <v>267</v>
      </c>
      <c r="H258" s="58" t="s">
        <v>1227</v>
      </c>
      <c r="I258" s="78" t="s">
        <v>1208</v>
      </c>
      <c r="J258" s="78" t="s">
        <v>1193</v>
      </c>
      <c r="K258" s="20">
        <v>0</v>
      </c>
      <c r="L258" s="20">
        <v>0</v>
      </c>
      <c r="M258" s="20" t="s">
        <v>1077</v>
      </c>
      <c r="N258" s="59" t="s">
        <v>712</v>
      </c>
      <c r="O258" s="20" t="s">
        <v>76</v>
      </c>
      <c r="P258" s="20"/>
      <c r="Q258" s="20" t="s">
        <v>25</v>
      </c>
      <c r="R258" s="20" t="s">
        <v>15</v>
      </c>
      <c r="S258" s="20"/>
      <c r="T258" s="20" t="s">
        <v>346</v>
      </c>
      <c r="U258" s="20" t="s">
        <v>346</v>
      </c>
      <c r="V258" s="20" t="s">
        <v>836</v>
      </c>
      <c r="W258" s="59" t="s">
        <v>838</v>
      </c>
      <c r="X258" s="59" t="s">
        <v>751</v>
      </c>
      <c r="Y258" s="20" t="s">
        <v>717</v>
      </c>
      <c r="Z258" s="71">
        <v>0</v>
      </c>
      <c r="AA258" s="71">
        <v>515</v>
      </c>
      <c r="AB258" s="71">
        <v>0</v>
      </c>
      <c r="AC258" s="71">
        <v>515</v>
      </c>
      <c r="AD258" s="105">
        <v>0</v>
      </c>
      <c r="AE258" s="118"/>
    </row>
    <row r="259" spans="2:31" s="57" customFormat="1" x14ac:dyDescent="0.2">
      <c r="B259" s="49">
        <v>257</v>
      </c>
      <c r="C259" s="50">
        <v>3</v>
      </c>
      <c r="D259" s="50">
        <v>860005057</v>
      </c>
      <c r="E259" s="50" t="str">
        <f t="shared" si="14"/>
        <v>860005057</v>
      </c>
      <c r="F259" s="50" t="s">
        <v>447</v>
      </c>
      <c r="G259" s="52" t="s">
        <v>252</v>
      </c>
      <c r="H259" s="51" t="s">
        <v>712</v>
      </c>
      <c r="I259" s="79" t="s">
        <v>1137</v>
      </c>
      <c r="J259" s="79" t="s">
        <v>1137</v>
      </c>
      <c r="K259" s="50">
        <v>0</v>
      </c>
      <c r="L259" s="50">
        <v>0</v>
      </c>
      <c r="M259" s="50" t="s">
        <v>1080</v>
      </c>
      <c r="N259" s="52" t="s">
        <v>712</v>
      </c>
      <c r="O259" s="50" t="s">
        <v>77</v>
      </c>
      <c r="P259" s="50"/>
      <c r="Q259" s="50" t="s">
        <v>25</v>
      </c>
      <c r="R259" s="50" t="s">
        <v>15</v>
      </c>
      <c r="S259" s="50"/>
      <c r="T259" s="50" t="s">
        <v>352</v>
      </c>
      <c r="U259" s="50" t="s">
        <v>352</v>
      </c>
      <c r="V259" s="50" t="s">
        <v>712</v>
      </c>
      <c r="W259" s="52" t="s">
        <v>712</v>
      </c>
      <c r="X259" s="52" t="s">
        <v>712</v>
      </c>
      <c r="Y259" s="50" t="s">
        <v>717</v>
      </c>
      <c r="Z259" s="72">
        <v>0</v>
      </c>
      <c r="AA259" s="72">
        <v>0</v>
      </c>
      <c r="AB259" s="72">
        <v>0</v>
      </c>
      <c r="AC259" s="72">
        <v>0</v>
      </c>
      <c r="AD259" s="109">
        <v>0</v>
      </c>
      <c r="AE259" s="118"/>
    </row>
    <row r="260" spans="2:31" s="57" customFormat="1" x14ac:dyDescent="0.2">
      <c r="B260" s="49">
        <v>258</v>
      </c>
      <c r="C260" s="50">
        <v>3</v>
      </c>
      <c r="D260" s="50">
        <v>8600780</v>
      </c>
      <c r="E260" s="50" t="str">
        <f t="shared" si="14"/>
        <v>8600780</v>
      </c>
      <c r="F260" s="50" t="s">
        <v>446</v>
      </c>
      <c r="G260" s="52" t="s">
        <v>156</v>
      </c>
      <c r="H260" s="51" t="s">
        <v>712</v>
      </c>
      <c r="I260" s="79" t="s">
        <v>397</v>
      </c>
      <c r="J260" s="79" t="s">
        <v>1193</v>
      </c>
      <c r="K260" s="50">
        <v>0</v>
      </c>
      <c r="L260" s="50">
        <v>0</v>
      </c>
      <c r="M260" s="50" t="s">
        <v>1076</v>
      </c>
      <c r="N260" s="52" t="s">
        <v>712</v>
      </c>
      <c r="O260" s="50" t="s">
        <v>93</v>
      </c>
      <c r="P260" s="50"/>
      <c r="Q260" s="50" t="s">
        <v>25</v>
      </c>
      <c r="R260" s="50" t="s">
        <v>38</v>
      </c>
      <c r="S260" s="50"/>
      <c r="T260" s="50" t="s">
        <v>352</v>
      </c>
      <c r="U260" s="50" t="s">
        <v>352</v>
      </c>
      <c r="V260" s="50" t="s">
        <v>712</v>
      </c>
      <c r="W260" s="52" t="s">
        <v>712</v>
      </c>
      <c r="X260" s="52" t="s">
        <v>712</v>
      </c>
      <c r="Y260" s="50" t="s">
        <v>717</v>
      </c>
      <c r="Z260" s="72">
        <v>0</v>
      </c>
      <c r="AA260" s="72">
        <v>0</v>
      </c>
      <c r="AB260" s="72">
        <v>0</v>
      </c>
      <c r="AC260" s="72">
        <v>0</v>
      </c>
      <c r="AD260" s="109">
        <v>0</v>
      </c>
      <c r="AE260" s="118"/>
    </row>
    <row r="261" spans="2:31" s="57" customFormat="1" x14ac:dyDescent="0.2">
      <c r="B261" s="49">
        <v>259</v>
      </c>
      <c r="C261" s="50">
        <v>3</v>
      </c>
      <c r="D261" s="50">
        <v>8800222</v>
      </c>
      <c r="E261" s="50" t="str">
        <f t="shared" si="14"/>
        <v>8800222</v>
      </c>
      <c r="F261" s="50" t="s">
        <v>452</v>
      </c>
      <c r="G261" s="52" t="s">
        <v>177</v>
      </c>
      <c r="H261" s="51" t="s">
        <v>712</v>
      </c>
      <c r="I261" s="79" t="s">
        <v>1193</v>
      </c>
      <c r="J261" s="79" t="s">
        <v>1193</v>
      </c>
      <c r="K261" s="50">
        <v>0</v>
      </c>
      <c r="L261" s="50">
        <v>0</v>
      </c>
      <c r="M261" s="50" t="s">
        <v>1084</v>
      </c>
      <c r="N261" s="52" t="s">
        <v>712</v>
      </c>
      <c r="O261" s="50" t="s">
        <v>96</v>
      </c>
      <c r="P261" s="50"/>
      <c r="Q261" s="50" t="s">
        <v>25</v>
      </c>
      <c r="R261" s="50" t="s">
        <v>38</v>
      </c>
      <c r="S261" s="50"/>
      <c r="T261" s="50" t="s">
        <v>352</v>
      </c>
      <c r="U261" s="50" t="s">
        <v>352</v>
      </c>
      <c r="V261" s="50" t="s">
        <v>712</v>
      </c>
      <c r="W261" s="52" t="s">
        <v>712</v>
      </c>
      <c r="X261" s="52" t="s">
        <v>712</v>
      </c>
      <c r="Y261" s="50" t="s">
        <v>717</v>
      </c>
      <c r="Z261" s="72">
        <v>0</v>
      </c>
      <c r="AA261" s="72">
        <v>0</v>
      </c>
      <c r="AB261" s="72">
        <v>0</v>
      </c>
      <c r="AC261" s="72">
        <v>0</v>
      </c>
      <c r="AD261" s="109">
        <v>0</v>
      </c>
      <c r="AE261" s="118"/>
    </row>
    <row r="262" spans="2:31" s="57" customFormat="1" ht="40.5" x14ac:dyDescent="0.2">
      <c r="B262" s="12">
        <v>260</v>
      </c>
      <c r="C262" s="20">
        <v>3</v>
      </c>
      <c r="D262" s="20">
        <v>900000755</v>
      </c>
      <c r="E262" s="20" t="str">
        <f t="shared" si="14"/>
        <v>900000755</v>
      </c>
      <c r="F262" s="20" t="s">
        <v>469</v>
      </c>
      <c r="G262" s="59" t="s">
        <v>254</v>
      </c>
      <c r="H262" s="58" t="s">
        <v>774</v>
      </c>
      <c r="I262" s="78" t="s">
        <v>742</v>
      </c>
      <c r="J262" s="78" t="s">
        <v>1193</v>
      </c>
      <c r="K262" s="20">
        <v>6</v>
      </c>
      <c r="L262" s="20">
        <v>6</v>
      </c>
      <c r="M262" s="20" t="s">
        <v>1095</v>
      </c>
      <c r="N262" s="59" t="s">
        <v>720</v>
      </c>
      <c r="O262" s="20" t="s">
        <v>72</v>
      </c>
      <c r="P262" s="20"/>
      <c r="Q262" s="20" t="s">
        <v>200</v>
      </c>
      <c r="R262" s="20" t="s">
        <v>15</v>
      </c>
      <c r="S262" s="20"/>
      <c r="T262" s="20" t="s">
        <v>346</v>
      </c>
      <c r="U262" s="20" t="s">
        <v>346</v>
      </c>
      <c r="V262" s="20" t="s">
        <v>722</v>
      </c>
      <c r="W262" s="59" t="s">
        <v>727</v>
      </c>
      <c r="X262" s="59" t="s">
        <v>846</v>
      </c>
      <c r="Y262" s="20" t="s">
        <v>717</v>
      </c>
      <c r="Z262" s="71">
        <v>0</v>
      </c>
      <c r="AA262" s="71">
        <v>580</v>
      </c>
      <c r="AB262" s="71">
        <v>1160</v>
      </c>
      <c r="AC262" s="71">
        <v>580</v>
      </c>
      <c r="AD262" s="105">
        <f>$AC262*$K262</f>
        <v>3480</v>
      </c>
      <c r="AE262" s="118"/>
    </row>
    <row r="263" spans="2:31" s="57" customFormat="1" ht="27" x14ac:dyDescent="0.2">
      <c r="B263" s="12">
        <v>261</v>
      </c>
      <c r="C263" s="20">
        <v>3</v>
      </c>
      <c r="D263" s="20">
        <v>900000757</v>
      </c>
      <c r="E263" s="20" t="str">
        <f t="shared" si="14"/>
        <v>900000757</v>
      </c>
      <c r="F263" s="20" t="s">
        <v>474</v>
      </c>
      <c r="G263" s="59" t="s">
        <v>269</v>
      </c>
      <c r="H263" s="58" t="s">
        <v>1231</v>
      </c>
      <c r="I263" s="78" t="s">
        <v>897</v>
      </c>
      <c r="J263" s="78" t="s">
        <v>1193</v>
      </c>
      <c r="K263" s="20">
        <v>2</v>
      </c>
      <c r="L263" s="20">
        <v>2</v>
      </c>
      <c r="M263" s="20" t="s">
        <v>1095</v>
      </c>
      <c r="N263" s="59" t="s">
        <v>720</v>
      </c>
      <c r="O263" s="20" t="s">
        <v>133</v>
      </c>
      <c r="P263" s="20"/>
      <c r="Q263" s="20" t="s">
        <v>18</v>
      </c>
      <c r="R263" s="20" t="s">
        <v>15</v>
      </c>
      <c r="S263" s="20"/>
      <c r="T263" s="20" t="s">
        <v>346</v>
      </c>
      <c r="U263" s="20" t="s">
        <v>346</v>
      </c>
      <c r="V263" s="20" t="s">
        <v>722</v>
      </c>
      <c r="W263" s="59" t="s">
        <v>727</v>
      </c>
      <c r="X263" s="59" t="s">
        <v>846</v>
      </c>
      <c r="Y263" s="20" t="s">
        <v>717</v>
      </c>
      <c r="Z263" s="71">
        <v>0</v>
      </c>
      <c r="AA263" s="71">
        <v>580</v>
      </c>
      <c r="AB263" s="71">
        <v>1160</v>
      </c>
      <c r="AC263" s="71">
        <v>580</v>
      </c>
      <c r="AD263" s="105">
        <f>$AC263*$K263</f>
        <v>1160</v>
      </c>
      <c r="AE263" s="118"/>
    </row>
    <row r="264" spans="2:31" s="57" customFormat="1" ht="40.5" x14ac:dyDescent="0.2">
      <c r="B264" s="12">
        <v>262</v>
      </c>
      <c r="C264" s="20">
        <v>3</v>
      </c>
      <c r="D264" s="20">
        <v>900001259</v>
      </c>
      <c r="E264" s="20" t="str">
        <f t="shared" si="14"/>
        <v>900001259</v>
      </c>
      <c r="F264" s="20" t="s">
        <v>470</v>
      </c>
      <c r="G264" s="59" t="s">
        <v>256</v>
      </c>
      <c r="H264" s="58" t="s">
        <v>774</v>
      </c>
      <c r="I264" s="78" t="s">
        <v>743</v>
      </c>
      <c r="J264" s="78" t="s">
        <v>1193</v>
      </c>
      <c r="K264" s="20">
        <v>4</v>
      </c>
      <c r="L264" s="20">
        <v>4</v>
      </c>
      <c r="M264" s="20" t="s">
        <v>1095</v>
      </c>
      <c r="N264" s="59" t="s">
        <v>720</v>
      </c>
      <c r="O264" s="20" t="s">
        <v>260</v>
      </c>
      <c r="P264" s="20"/>
      <c r="Q264" s="20" t="s">
        <v>55</v>
      </c>
      <c r="R264" s="20" t="s">
        <v>15</v>
      </c>
      <c r="S264" s="20"/>
      <c r="T264" s="20" t="s">
        <v>346</v>
      </c>
      <c r="U264" s="20" t="s">
        <v>346</v>
      </c>
      <c r="V264" s="20" t="s">
        <v>722</v>
      </c>
      <c r="W264" s="59" t="s">
        <v>727</v>
      </c>
      <c r="X264" s="59" t="s">
        <v>846</v>
      </c>
      <c r="Y264" s="20" t="s">
        <v>717</v>
      </c>
      <c r="Z264" s="71">
        <v>0</v>
      </c>
      <c r="AA264" s="71">
        <v>560</v>
      </c>
      <c r="AB264" s="71">
        <v>5600</v>
      </c>
      <c r="AC264" s="71">
        <v>560</v>
      </c>
      <c r="AD264" s="105">
        <f>$AC264*$K264</f>
        <v>2240</v>
      </c>
      <c r="AE264" s="118"/>
    </row>
    <row r="265" spans="2:31" s="57" customFormat="1" x14ac:dyDescent="0.2">
      <c r="B265" s="15">
        <v>263</v>
      </c>
      <c r="C265" s="11">
        <v>2</v>
      </c>
      <c r="D265" s="11">
        <v>190005895</v>
      </c>
      <c r="E265" s="11" t="str">
        <f t="shared" si="14"/>
        <v>190005895</v>
      </c>
      <c r="F265" s="11" t="s">
        <v>475</v>
      </c>
      <c r="G265" s="48" t="s">
        <v>271</v>
      </c>
      <c r="H265" s="47" t="s">
        <v>712</v>
      </c>
      <c r="I265" s="77" t="s">
        <v>1137</v>
      </c>
      <c r="J265" s="77" t="s">
        <v>1137</v>
      </c>
      <c r="K265" s="11">
        <v>1</v>
      </c>
      <c r="L265" s="11">
        <v>1</v>
      </c>
      <c r="M265" s="11" t="s">
        <v>1095</v>
      </c>
      <c r="N265" s="48" t="s">
        <v>1137</v>
      </c>
      <c r="O265" s="11" t="s">
        <v>14</v>
      </c>
      <c r="P265" s="11"/>
      <c r="Q265" s="11" t="s">
        <v>21</v>
      </c>
      <c r="R265" s="11" t="s">
        <v>15</v>
      </c>
      <c r="S265" s="11"/>
      <c r="T265" s="11" t="s">
        <v>354</v>
      </c>
      <c r="U265" s="11" t="s">
        <v>354</v>
      </c>
      <c r="V265" s="11"/>
      <c r="W265" s="48"/>
      <c r="X265" s="48"/>
      <c r="Y265" s="11"/>
      <c r="Z265" s="70"/>
      <c r="AA265" s="70"/>
      <c r="AB265" s="70"/>
      <c r="AC265" s="70"/>
      <c r="AD265" s="108"/>
      <c r="AE265" s="118"/>
    </row>
    <row r="266" spans="2:31" s="57" customFormat="1" x14ac:dyDescent="0.2">
      <c r="B266" s="49">
        <v>264</v>
      </c>
      <c r="C266" s="50">
        <v>3</v>
      </c>
      <c r="D266" s="50">
        <v>300000839</v>
      </c>
      <c r="E266" s="50" t="str">
        <f t="shared" si="14"/>
        <v>300000839</v>
      </c>
      <c r="F266" s="50" t="s">
        <v>418</v>
      </c>
      <c r="G266" s="52" t="s">
        <v>272</v>
      </c>
      <c r="H266" s="51" t="s">
        <v>772</v>
      </c>
      <c r="I266" s="79">
        <v>534501</v>
      </c>
      <c r="J266" s="79" t="s">
        <v>1193</v>
      </c>
      <c r="K266" s="50">
        <v>0</v>
      </c>
      <c r="L266" s="50">
        <v>0</v>
      </c>
      <c r="M266" s="50" t="s">
        <v>1076</v>
      </c>
      <c r="N266" s="52" t="s">
        <v>719</v>
      </c>
      <c r="O266" s="50" t="s">
        <v>14</v>
      </c>
      <c r="P266" s="50"/>
      <c r="Q266" s="50" t="s">
        <v>33</v>
      </c>
      <c r="R266" s="50" t="s">
        <v>15</v>
      </c>
      <c r="S266" s="50"/>
      <c r="T266" s="50" t="s">
        <v>346</v>
      </c>
      <c r="U266" s="50" t="s">
        <v>346</v>
      </c>
      <c r="V266" s="50" t="s">
        <v>738</v>
      </c>
      <c r="W266" s="52" t="s">
        <v>809</v>
      </c>
      <c r="X266" s="52" t="s">
        <v>847</v>
      </c>
      <c r="Y266" s="50" t="s">
        <v>717</v>
      </c>
      <c r="Z266" s="72">
        <v>0</v>
      </c>
      <c r="AA266" s="72">
        <v>7000</v>
      </c>
      <c r="AB266" s="72">
        <v>0</v>
      </c>
      <c r="AC266" s="72">
        <v>4000</v>
      </c>
      <c r="AD266" s="109">
        <v>0</v>
      </c>
      <c r="AE266" s="118" t="s">
        <v>1263</v>
      </c>
    </row>
    <row r="267" spans="2:31" s="57" customFormat="1" x14ac:dyDescent="0.2">
      <c r="B267" s="49">
        <v>265</v>
      </c>
      <c r="C267" s="50">
        <v>3</v>
      </c>
      <c r="D267" s="50">
        <v>300000840</v>
      </c>
      <c r="E267" s="50" t="str">
        <f t="shared" si="14"/>
        <v>300000840</v>
      </c>
      <c r="F267" s="50" t="s">
        <v>418</v>
      </c>
      <c r="G267" s="52" t="s">
        <v>273</v>
      </c>
      <c r="H267" s="51" t="s">
        <v>772</v>
      </c>
      <c r="I267" s="79">
        <v>543492</v>
      </c>
      <c r="J267" s="79" t="s">
        <v>1193</v>
      </c>
      <c r="K267" s="50">
        <v>0</v>
      </c>
      <c r="L267" s="50">
        <v>0</v>
      </c>
      <c r="M267" s="50" t="s">
        <v>1077</v>
      </c>
      <c r="N267" s="52" t="s">
        <v>719</v>
      </c>
      <c r="O267" s="50" t="s">
        <v>14</v>
      </c>
      <c r="P267" s="50"/>
      <c r="Q267" s="50" t="s">
        <v>33</v>
      </c>
      <c r="R267" s="50" t="s">
        <v>15</v>
      </c>
      <c r="S267" s="50"/>
      <c r="T267" s="50" t="s">
        <v>346</v>
      </c>
      <c r="U267" s="50" t="s">
        <v>346</v>
      </c>
      <c r="V267" s="50" t="s">
        <v>738</v>
      </c>
      <c r="W267" s="52" t="s">
        <v>809</v>
      </c>
      <c r="X267" s="52" t="s">
        <v>847</v>
      </c>
      <c r="Y267" s="50" t="s">
        <v>717</v>
      </c>
      <c r="Z267" s="72">
        <v>0</v>
      </c>
      <c r="AA267" s="72">
        <v>1000</v>
      </c>
      <c r="AB267" s="72">
        <v>0</v>
      </c>
      <c r="AC267" s="72">
        <v>700</v>
      </c>
      <c r="AD267" s="109">
        <v>0</v>
      </c>
      <c r="AE267" s="118" t="s">
        <v>1263</v>
      </c>
    </row>
    <row r="268" spans="2:31" s="57" customFormat="1" x14ac:dyDescent="0.2">
      <c r="B268" s="49">
        <v>266</v>
      </c>
      <c r="C268" s="50">
        <v>3</v>
      </c>
      <c r="D268" s="50">
        <v>530000565</v>
      </c>
      <c r="E268" s="50" t="str">
        <f t="shared" si="14"/>
        <v>530000565</v>
      </c>
      <c r="F268" s="50" t="s">
        <v>410</v>
      </c>
      <c r="G268" s="52" t="s">
        <v>274</v>
      </c>
      <c r="H268" s="51" t="s">
        <v>772</v>
      </c>
      <c r="I268" s="79">
        <v>8001208</v>
      </c>
      <c r="J268" s="79" t="s">
        <v>1193</v>
      </c>
      <c r="K268" s="50">
        <v>0</v>
      </c>
      <c r="L268" s="50">
        <v>0</v>
      </c>
      <c r="M268" s="50" t="s">
        <v>1077</v>
      </c>
      <c r="N268" s="52" t="s">
        <v>719</v>
      </c>
      <c r="O268" s="50" t="s">
        <v>14</v>
      </c>
      <c r="P268" s="50"/>
      <c r="Q268" s="50" t="s">
        <v>33</v>
      </c>
      <c r="R268" s="50" t="s">
        <v>15</v>
      </c>
      <c r="S268" s="50"/>
      <c r="T268" s="50" t="s">
        <v>346</v>
      </c>
      <c r="U268" s="50" t="s">
        <v>346</v>
      </c>
      <c r="V268" s="50" t="s">
        <v>738</v>
      </c>
      <c r="W268" s="52" t="s">
        <v>809</v>
      </c>
      <c r="X268" s="52" t="s">
        <v>847</v>
      </c>
      <c r="Y268" s="50" t="s">
        <v>717</v>
      </c>
      <c r="Z268" s="72">
        <v>0</v>
      </c>
      <c r="AA268" s="72">
        <v>200000</v>
      </c>
      <c r="AB268" s="72">
        <v>0</v>
      </c>
      <c r="AC268" s="72">
        <v>140000</v>
      </c>
      <c r="AD268" s="109">
        <v>0</v>
      </c>
      <c r="AE268" s="118" t="s">
        <v>1263</v>
      </c>
    </row>
    <row r="269" spans="2:31" s="57" customFormat="1" ht="40.5" x14ac:dyDescent="0.2">
      <c r="B269" s="12">
        <v>267</v>
      </c>
      <c r="C269" s="20">
        <v>2</v>
      </c>
      <c r="D269" s="20">
        <v>190005896</v>
      </c>
      <c r="E269" s="20" t="str">
        <f t="shared" si="14"/>
        <v>190005896</v>
      </c>
      <c r="F269" s="20" t="s">
        <v>422</v>
      </c>
      <c r="G269" s="59" t="s">
        <v>275</v>
      </c>
      <c r="H269" s="58" t="s">
        <v>772</v>
      </c>
      <c r="I269" s="78" t="s">
        <v>1237</v>
      </c>
      <c r="J269" s="78" t="s">
        <v>1193</v>
      </c>
      <c r="K269" s="20">
        <v>3</v>
      </c>
      <c r="L269" s="20">
        <v>3</v>
      </c>
      <c r="M269" s="20" t="s">
        <v>1095</v>
      </c>
      <c r="N269" s="59" t="s">
        <v>712</v>
      </c>
      <c r="O269" s="20" t="s">
        <v>14</v>
      </c>
      <c r="P269" s="20"/>
      <c r="Q269" s="20" t="s">
        <v>74</v>
      </c>
      <c r="R269" s="20" t="s">
        <v>15</v>
      </c>
      <c r="S269" s="20"/>
      <c r="T269" s="20" t="s">
        <v>346</v>
      </c>
      <c r="U269" s="20" t="s">
        <v>346</v>
      </c>
      <c r="V269" s="20" t="s">
        <v>738</v>
      </c>
      <c r="W269" s="59" t="s">
        <v>809</v>
      </c>
      <c r="X269" s="59" t="s">
        <v>755</v>
      </c>
      <c r="Y269" s="20" t="s">
        <v>717</v>
      </c>
      <c r="Z269" s="71">
        <v>0</v>
      </c>
      <c r="AA269" s="71">
        <v>333550</v>
      </c>
      <c r="AB269" s="71">
        <v>1000650</v>
      </c>
      <c r="AC269" s="71">
        <v>333550</v>
      </c>
      <c r="AD269" s="110">
        <f t="shared" ref="AD269:AD294" si="15">$AC269*$K269</f>
        <v>1000650</v>
      </c>
      <c r="AE269" s="118" t="s">
        <v>1263</v>
      </c>
    </row>
    <row r="270" spans="2:31" s="57" customFormat="1" ht="40.5" x14ac:dyDescent="0.2">
      <c r="B270" s="12">
        <v>268</v>
      </c>
      <c r="C270" s="20">
        <v>2</v>
      </c>
      <c r="D270" s="20">
        <v>190005897</v>
      </c>
      <c r="E270" s="20" t="str">
        <f t="shared" si="14"/>
        <v>190005897</v>
      </c>
      <c r="F270" s="20" t="s">
        <v>422</v>
      </c>
      <c r="G270" s="59" t="s">
        <v>276</v>
      </c>
      <c r="H270" s="58" t="s">
        <v>772</v>
      </c>
      <c r="I270" s="78" t="s">
        <v>1179</v>
      </c>
      <c r="J270" s="78" t="s">
        <v>1193</v>
      </c>
      <c r="K270" s="20">
        <v>1</v>
      </c>
      <c r="L270" s="20">
        <v>1</v>
      </c>
      <c r="M270" s="20" t="s">
        <v>1095</v>
      </c>
      <c r="N270" s="59" t="s">
        <v>712</v>
      </c>
      <c r="O270" s="20" t="s">
        <v>14</v>
      </c>
      <c r="P270" s="20"/>
      <c r="Q270" s="20" t="s">
        <v>21</v>
      </c>
      <c r="R270" s="20" t="s">
        <v>15</v>
      </c>
      <c r="S270" s="20"/>
      <c r="T270" s="20" t="s">
        <v>346</v>
      </c>
      <c r="U270" s="20" t="s">
        <v>346</v>
      </c>
      <c r="V270" s="20" t="s">
        <v>738</v>
      </c>
      <c r="W270" s="59" t="s">
        <v>809</v>
      </c>
      <c r="X270" s="59" t="s">
        <v>755</v>
      </c>
      <c r="Y270" s="20" t="s">
        <v>717</v>
      </c>
      <c r="Z270" s="71">
        <v>0</v>
      </c>
      <c r="AA270" s="71">
        <v>291560</v>
      </c>
      <c r="AB270" s="71">
        <v>291560</v>
      </c>
      <c r="AC270" s="71">
        <v>291560</v>
      </c>
      <c r="AD270" s="110">
        <f t="shared" si="15"/>
        <v>291560</v>
      </c>
      <c r="AE270" s="118" t="s">
        <v>1263</v>
      </c>
    </row>
    <row r="271" spans="2:31" s="57" customFormat="1" ht="54" x14ac:dyDescent="0.2">
      <c r="B271" s="12">
        <v>269</v>
      </c>
      <c r="C271" s="20">
        <v>2</v>
      </c>
      <c r="D271" s="20">
        <v>190005898</v>
      </c>
      <c r="E271" s="20" t="str">
        <f t="shared" si="14"/>
        <v>190005898</v>
      </c>
      <c r="F271" s="20" t="s">
        <v>476</v>
      </c>
      <c r="G271" s="59" t="s">
        <v>277</v>
      </c>
      <c r="H271" s="58" t="s">
        <v>772</v>
      </c>
      <c r="I271" s="78" t="s">
        <v>1180</v>
      </c>
      <c r="J271" s="78" t="s">
        <v>1193</v>
      </c>
      <c r="K271" s="20">
        <v>1</v>
      </c>
      <c r="L271" s="20">
        <v>1</v>
      </c>
      <c r="M271" s="20" t="s">
        <v>1095</v>
      </c>
      <c r="N271" s="59" t="s">
        <v>712</v>
      </c>
      <c r="O271" s="20" t="s">
        <v>14</v>
      </c>
      <c r="P271" s="20"/>
      <c r="Q271" s="20" t="s">
        <v>21</v>
      </c>
      <c r="R271" s="20" t="s">
        <v>38</v>
      </c>
      <c r="S271" s="20"/>
      <c r="T271" s="20" t="s">
        <v>346</v>
      </c>
      <c r="U271" s="20" t="s">
        <v>346</v>
      </c>
      <c r="V271" s="20" t="s">
        <v>738</v>
      </c>
      <c r="W271" s="59" t="s">
        <v>809</v>
      </c>
      <c r="X271" s="59" t="s">
        <v>755</v>
      </c>
      <c r="Y271" s="20" t="s">
        <v>717</v>
      </c>
      <c r="Z271" s="71">
        <v>0</v>
      </c>
      <c r="AA271" s="71">
        <v>1518550</v>
      </c>
      <c r="AB271" s="71">
        <v>1518550</v>
      </c>
      <c r="AC271" s="71">
        <v>1518550</v>
      </c>
      <c r="AD271" s="110">
        <f t="shared" si="15"/>
        <v>1518550</v>
      </c>
      <c r="AE271" s="118" t="s">
        <v>1263</v>
      </c>
    </row>
    <row r="272" spans="2:31" s="57" customFormat="1" ht="40.5" x14ac:dyDescent="0.2">
      <c r="B272" s="12">
        <v>270</v>
      </c>
      <c r="C272" s="20">
        <v>2</v>
      </c>
      <c r="D272" s="20">
        <v>190005899</v>
      </c>
      <c r="E272" s="20" t="str">
        <f t="shared" si="14"/>
        <v>190005899</v>
      </c>
      <c r="F272" s="20" t="s">
        <v>422</v>
      </c>
      <c r="G272" s="59" t="s">
        <v>278</v>
      </c>
      <c r="H272" s="58" t="s">
        <v>772</v>
      </c>
      <c r="I272" s="78" t="s">
        <v>1178</v>
      </c>
      <c r="J272" s="78" t="s">
        <v>1193</v>
      </c>
      <c r="K272" s="20">
        <v>1</v>
      </c>
      <c r="L272" s="20">
        <v>1</v>
      </c>
      <c r="M272" s="20" t="s">
        <v>1095</v>
      </c>
      <c r="N272" s="59" t="s">
        <v>712</v>
      </c>
      <c r="O272" s="20" t="s">
        <v>14</v>
      </c>
      <c r="P272" s="20"/>
      <c r="Q272" s="20" t="s">
        <v>21</v>
      </c>
      <c r="R272" s="20" t="s">
        <v>15</v>
      </c>
      <c r="S272" s="20"/>
      <c r="T272" s="20" t="s">
        <v>346</v>
      </c>
      <c r="U272" s="20" t="s">
        <v>346</v>
      </c>
      <c r="V272" s="20" t="s">
        <v>738</v>
      </c>
      <c r="W272" s="59" t="s">
        <v>809</v>
      </c>
      <c r="X272" s="59" t="s">
        <v>755</v>
      </c>
      <c r="Y272" s="20" t="s">
        <v>717</v>
      </c>
      <c r="Z272" s="71">
        <v>0</v>
      </c>
      <c r="AA272" s="71">
        <v>460480</v>
      </c>
      <c r="AB272" s="71">
        <v>460480</v>
      </c>
      <c r="AC272" s="71">
        <v>460480</v>
      </c>
      <c r="AD272" s="110">
        <f t="shared" si="15"/>
        <v>460480</v>
      </c>
      <c r="AE272" s="118" t="s">
        <v>1263</v>
      </c>
    </row>
    <row r="273" spans="2:31" s="57" customFormat="1" ht="27" x14ac:dyDescent="0.2">
      <c r="B273" s="12">
        <v>271</v>
      </c>
      <c r="C273" s="20">
        <v>2</v>
      </c>
      <c r="D273" s="20">
        <v>250000617</v>
      </c>
      <c r="E273" s="20" t="str">
        <f t="shared" si="14"/>
        <v>250000617</v>
      </c>
      <c r="F273" s="20" t="s">
        <v>410</v>
      </c>
      <c r="G273" s="59" t="s">
        <v>279</v>
      </c>
      <c r="H273" s="58" t="s">
        <v>772</v>
      </c>
      <c r="I273" s="78" t="s">
        <v>872</v>
      </c>
      <c r="J273" s="78" t="s">
        <v>1193</v>
      </c>
      <c r="K273" s="20">
        <v>1</v>
      </c>
      <c r="L273" s="20">
        <v>1</v>
      </c>
      <c r="M273" s="20" t="s">
        <v>1095</v>
      </c>
      <c r="N273" s="59" t="s">
        <v>719</v>
      </c>
      <c r="O273" s="20" t="s">
        <v>14</v>
      </c>
      <c r="P273" s="20"/>
      <c r="Q273" s="20" t="s">
        <v>21</v>
      </c>
      <c r="R273" s="20" t="s">
        <v>15</v>
      </c>
      <c r="S273" s="20"/>
      <c r="T273" s="20" t="s">
        <v>346</v>
      </c>
      <c r="U273" s="20" t="s">
        <v>346</v>
      </c>
      <c r="V273" s="20" t="s">
        <v>738</v>
      </c>
      <c r="W273" s="59" t="s">
        <v>809</v>
      </c>
      <c r="X273" s="59" t="s">
        <v>847</v>
      </c>
      <c r="Y273" s="20" t="s">
        <v>717</v>
      </c>
      <c r="Z273" s="71">
        <v>0</v>
      </c>
      <c r="AA273" s="71">
        <v>7000</v>
      </c>
      <c r="AB273" s="71">
        <v>7000</v>
      </c>
      <c r="AC273" s="71">
        <v>7000</v>
      </c>
      <c r="AD273" s="110">
        <f t="shared" si="15"/>
        <v>7000</v>
      </c>
      <c r="AE273" s="118" t="s">
        <v>1263</v>
      </c>
    </row>
    <row r="274" spans="2:31" s="57" customFormat="1" ht="40.5" x14ac:dyDescent="0.2">
      <c r="B274" s="12">
        <v>272</v>
      </c>
      <c r="C274" s="20">
        <v>2</v>
      </c>
      <c r="D274" s="20">
        <v>320000344</v>
      </c>
      <c r="E274" s="20" t="str">
        <f t="shared" si="14"/>
        <v>320000344</v>
      </c>
      <c r="F274" s="20" t="s">
        <v>410</v>
      </c>
      <c r="G274" s="59" t="s">
        <v>280</v>
      </c>
      <c r="H274" s="58" t="s">
        <v>772</v>
      </c>
      <c r="I274" s="78" t="s">
        <v>873</v>
      </c>
      <c r="J274" s="78" t="s">
        <v>1193</v>
      </c>
      <c r="K274" s="20">
        <v>6</v>
      </c>
      <c r="L274" s="20">
        <v>6</v>
      </c>
      <c r="M274" s="20" t="s">
        <v>1095</v>
      </c>
      <c r="N274" s="59" t="s">
        <v>718</v>
      </c>
      <c r="O274" s="20" t="s">
        <v>14</v>
      </c>
      <c r="P274" s="20"/>
      <c r="Q274" s="20" t="s">
        <v>200</v>
      </c>
      <c r="R274" s="20" t="s">
        <v>15</v>
      </c>
      <c r="S274" s="20"/>
      <c r="T274" s="20" t="s">
        <v>346</v>
      </c>
      <c r="U274" s="20" t="s">
        <v>346</v>
      </c>
      <c r="V274" s="20" t="s">
        <v>738</v>
      </c>
      <c r="W274" s="59" t="s">
        <v>809</v>
      </c>
      <c r="X274" s="59" t="s">
        <v>847</v>
      </c>
      <c r="Y274" s="20" t="s">
        <v>717</v>
      </c>
      <c r="Z274" s="71">
        <v>0</v>
      </c>
      <c r="AA274" s="71">
        <v>80000</v>
      </c>
      <c r="AB274" s="71">
        <v>480000</v>
      </c>
      <c r="AC274" s="71">
        <v>79000</v>
      </c>
      <c r="AD274" s="110">
        <f t="shared" si="15"/>
        <v>474000</v>
      </c>
      <c r="AE274" s="118" t="s">
        <v>1263</v>
      </c>
    </row>
    <row r="275" spans="2:31" s="57" customFormat="1" ht="54" x14ac:dyDescent="0.2">
      <c r="B275" s="12">
        <v>273</v>
      </c>
      <c r="C275" s="20">
        <v>2</v>
      </c>
      <c r="D275" s="20">
        <v>3200671</v>
      </c>
      <c r="E275" s="20" t="str">
        <f t="shared" si="14"/>
        <v>3200671</v>
      </c>
      <c r="F275" s="20" t="s">
        <v>477</v>
      </c>
      <c r="G275" s="59" t="s">
        <v>282</v>
      </c>
      <c r="H275" s="58" t="s">
        <v>1252</v>
      </c>
      <c r="I275" s="78" t="s">
        <v>1251</v>
      </c>
      <c r="J275" s="78" t="s">
        <v>1193</v>
      </c>
      <c r="K275" s="20">
        <v>1</v>
      </c>
      <c r="L275" s="20">
        <v>1</v>
      </c>
      <c r="M275" s="20" t="s">
        <v>1095</v>
      </c>
      <c r="N275" s="59" t="s">
        <v>718</v>
      </c>
      <c r="O275" s="20" t="s">
        <v>14</v>
      </c>
      <c r="P275" s="20"/>
      <c r="Q275" s="20" t="s">
        <v>21</v>
      </c>
      <c r="R275" s="20" t="s">
        <v>15</v>
      </c>
      <c r="S275" s="20"/>
      <c r="T275" s="20" t="s">
        <v>346</v>
      </c>
      <c r="U275" s="20" t="s">
        <v>346</v>
      </c>
      <c r="V275" s="20" t="s">
        <v>738</v>
      </c>
      <c r="W275" s="59" t="s">
        <v>1249</v>
      </c>
      <c r="X275" s="58" t="s">
        <v>1250</v>
      </c>
      <c r="Y275" s="20" t="s">
        <v>717</v>
      </c>
      <c r="Z275" s="71">
        <v>0</v>
      </c>
      <c r="AA275" s="71">
        <v>334500</v>
      </c>
      <c r="AB275" s="71">
        <v>334500</v>
      </c>
      <c r="AC275" s="71">
        <v>334500</v>
      </c>
      <c r="AD275" s="73">
        <v>334500</v>
      </c>
      <c r="AE275" s="118" t="s">
        <v>1262</v>
      </c>
    </row>
    <row r="276" spans="2:31" s="57" customFormat="1" x14ac:dyDescent="0.2">
      <c r="B276" s="12">
        <v>274</v>
      </c>
      <c r="C276" s="20">
        <v>2</v>
      </c>
      <c r="D276" s="20">
        <v>3200707</v>
      </c>
      <c r="E276" s="20" t="str">
        <f t="shared" si="14"/>
        <v>3200707</v>
      </c>
      <c r="F276" s="20" t="s">
        <v>422</v>
      </c>
      <c r="G276" s="59" t="s">
        <v>283</v>
      </c>
      <c r="H276" s="58" t="s">
        <v>856</v>
      </c>
      <c r="I276" s="78" t="s">
        <v>874</v>
      </c>
      <c r="J276" s="78" t="s">
        <v>397</v>
      </c>
      <c r="K276" s="20">
        <v>1</v>
      </c>
      <c r="L276" s="20">
        <v>1</v>
      </c>
      <c r="M276" s="20" t="s">
        <v>1095</v>
      </c>
      <c r="N276" s="59" t="s">
        <v>718</v>
      </c>
      <c r="O276" s="20" t="s">
        <v>14</v>
      </c>
      <c r="P276" s="20"/>
      <c r="Q276" s="20" t="s">
        <v>21</v>
      </c>
      <c r="R276" s="20" t="s">
        <v>15</v>
      </c>
      <c r="S276" s="20"/>
      <c r="T276" s="20" t="s">
        <v>346</v>
      </c>
      <c r="U276" s="20" t="s">
        <v>346</v>
      </c>
      <c r="V276" s="20" t="s">
        <v>738</v>
      </c>
      <c r="W276" s="59" t="s">
        <v>853</v>
      </c>
      <c r="X276" s="59" t="s">
        <v>855</v>
      </c>
      <c r="Y276" s="20" t="s">
        <v>717</v>
      </c>
      <c r="Z276" s="71">
        <v>0</v>
      </c>
      <c r="AA276" s="71">
        <v>114300</v>
      </c>
      <c r="AB276" s="71">
        <v>114300</v>
      </c>
      <c r="AC276" s="71">
        <v>114300</v>
      </c>
      <c r="AD276" s="110">
        <f t="shared" si="15"/>
        <v>114300</v>
      </c>
      <c r="AE276" s="118">
        <v>45877</v>
      </c>
    </row>
    <row r="277" spans="2:31" s="57" customFormat="1" x14ac:dyDescent="0.2">
      <c r="B277" s="12">
        <v>275</v>
      </c>
      <c r="C277" s="20">
        <v>2</v>
      </c>
      <c r="D277" s="20">
        <v>3400060</v>
      </c>
      <c r="E277" s="20" t="str">
        <f t="shared" si="14"/>
        <v>3400060</v>
      </c>
      <c r="F277" s="20" t="s">
        <v>478</v>
      </c>
      <c r="G277" s="59" t="s">
        <v>284</v>
      </c>
      <c r="H277" s="58" t="s">
        <v>1181</v>
      </c>
      <c r="I277" s="78" t="s">
        <v>1207</v>
      </c>
      <c r="J277" s="78" t="s">
        <v>1193</v>
      </c>
      <c r="K277" s="20">
        <v>1</v>
      </c>
      <c r="L277" s="20">
        <v>1</v>
      </c>
      <c r="M277" s="20" t="s">
        <v>1095</v>
      </c>
      <c r="N277" s="59" t="s">
        <v>718</v>
      </c>
      <c r="O277" s="20" t="s">
        <v>14</v>
      </c>
      <c r="P277" s="20"/>
      <c r="Q277" s="20" t="s">
        <v>21</v>
      </c>
      <c r="R277" s="20" t="s">
        <v>15</v>
      </c>
      <c r="S277" s="20"/>
      <c r="T277" s="20" t="s">
        <v>346</v>
      </c>
      <c r="U277" s="20" t="s">
        <v>346</v>
      </c>
      <c r="V277" s="20" t="s">
        <v>738</v>
      </c>
      <c r="W277" s="59" t="s">
        <v>890</v>
      </c>
      <c r="X277" s="59" t="s">
        <v>893</v>
      </c>
      <c r="Y277" s="20" t="s">
        <v>717</v>
      </c>
      <c r="Z277" s="71">
        <v>0</v>
      </c>
      <c r="AA277" s="71">
        <v>2990</v>
      </c>
      <c r="AB277" s="71">
        <v>2990</v>
      </c>
      <c r="AC277" s="71">
        <v>2880</v>
      </c>
      <c r="AD277" s="110">
        <f t="shared" si="15"/>
        <v>2880</v>
      </c>
      <c r="AE277" s="118">
        <v>45877</v>
      </c>
    </row>
    <row r="278" spans="2:31" s="57" customFormat="1" x14ac:dyDescent="0.2">
      <c r="B278" s="12">
        <v>276</v>
      </c>
      <c r="C278" s="20">
        <v>2</v>
      </c>
      <c r="D278" s="20">
        <v>3400167</v>
      </c>
      <c r="E278" s="20" t="str">
        <f t="shared" si="14"/>
        <v>3400167</v>
      </c>
      <c r="F278" s="20" t="s">
        <v>427</v>
      </c>
      <c r="G278" s="59" t="s">
        <v>92</v>
      </c>
      <c r="H278" s="58" t="s">
        <v>1120</v>
      </c>
      <c r="I278" s="78" t="s">
        <v>1119</v>
      </c>
      <c r="J278" s="78" t="s">
        <v>397</v>
      </c>
      <c r="K278" s="20">
        <v>1</v>
      </c>
      <c r="L278" s="20">
        <v>1</v>
      </c>
      <c r="M278" s="20" t="s">
        <v>1095</v>
      </c>
      <c r="N278" s="59" t="s">
        <v>712</v>
      </c>
      <c r="O278" s="20" t="s">
        <v>14</v>
      </c>
      <c r="P278" s="20"/>
      <c r="Q278" s="20" t="s">
        <v>21</v>
      </c>
      <c r="R278" s="20" t="s">
        <v>15</v>
      </c>
      <c r="S278" s="20"/>
      <c r="T278" s="20" t="s">
        <v>346</v>
      </c>
      <c r="U278" s="20" t="s">
        <v>346</v>
      </c>
      <c r="V278" s="20" t="s">
        <v>1258</v>
      </c>
      <c r="W278" s="20" t="s">
        <v>1256</v>
      </c>
      <c r="X278" s="59" t="s">
        <v>1225</v>
      </c>
      <c r="Y278" s="20" t="s">
        <v>717</v>
      </c>
      <c r="Z278" s="71">
        <v>0</v>
      </c>
      <c r="AA278" s="71">
        <v>6783</v>
      </c>
      <c r="AB278" s="71">
        <v>13566</v>
      </c>
      <c r="AC278" s="71">
        <v>6783</v>
      </c>
      <c r="AD278" s="110">
        <f t="shared" si="15"/>
        <v>6783</v>
      </c>
      <c r="AE278" s="118"/>
    </row>
    <row r="279" spans="2:31" s="57" customFormat="1" x14ac:dyDescent="0.2">
      <c r="B279" s="12">
        <v>277</v>
      </c>
      <c r="C279" s="20">
        <v>2</v>
      </c>
      <c r="D279" s="20">
        <v>3400754</v>
      </c>
      <c r="E279" s="20" t="str">
        <f t="shared" si="14"/>
        <v>3400754</v>
      </c>
      <c r="F279" s="20" t="s">
        <v>479</v>
      </c>
      <c r="G279" s="59" t="s">
        <v>286</v>
      </c>
      <c r="H279" s="58" t="s">
        <v>1181</v>
      </c>
      <c r="I279" s="78" t="s">
        <v>1206</v>
      </c>
      <c r="J279" s="78" t="s">
        <v>1193</v>
      </c>
      <c r="K279" s="20">
        <v>5</v>
      </c>
      <c r="L279" s="20">
        <v>5</v>
      </c>
      <c r="M279" s="20" t="s">
        <v>1095</v>
      </c>
      <c r="N279" s="59" t="s">
        <v>720</v>
      </c>
      <c r="O279" s="20" t="s">
        <v>14</v>
      </c>
      <c r="P279" s="20"/>
      <c r="Q279" s="20" t="s">
        <v>190</v>
      </c>
      <c r="R279" s="20" t="s">
        <v>15</v>
      </c>
      <c r="S279" s="20"/>
      <c r="T279" s="20" t="s">
        <v>346</v>
      </c>
      <c r="U279" s="20" t="s">
        <v>346</v>
      </c>
      <c r="V279" s="20" t="s">
        <v>738</v>
      </c>
      <c r="W279" s="59" t="s">
        <v>890</v>
      </c>
      <c r="X279" s="59" t="s">
        <v>893</v>
      </c>
      <c r="Y279" s="20" t="s">
        <v>717</v>
      </c>
      <c r="Z279" s="71">
        <v>0</v>
      </c>
      <c r="AA279" s="71">
        <v>14960</v>
      </c>
      <c r="AB279" s="71">
        <v>74800</v>
      </c>
      <c r="AC279" s="71">
        <v>14390</v>
      </c>
      <c r="AD279" s="110">
        <f t="shared" si="15"/>
        <v>71950</v>
      </c>
      <c r="AE279" s="118">
        <v>45877</v>
      </c>
    </row>
    <row r="280" spans="2:31" s="57" customFormat="1" x14ac:dyDescent="0.2">
      <c r="B280" s="12">
        <v>278</v>
      </c>
      <c r="C280" s="20">
        <v>2</v>
      </c>
      <c r="D280" s="20">
        <v>3400757</v>
      </c>
      <c r="E280" s="20" t="str">
        <f t="shared" si="14"/>
        <v>3400757</v>
      </c>
      <c r="F280" s="20" t="s">
        <v>410</v>
      </c>
      <c r="G280" s="59" t="s">
        <v>287</v>
      </c>
      <c r="H280" s="58" t="s">
        <v>728</v>
      </c>
      <c r="I280" s="78" t="s">
        <v>875</v>
      </c>
      <c r="J280" s="78" t="s">
        <v>1193</v>
      </c>
      <c r="K280" s="20">
        <v>1</v>
      </c>
      <c r="L280" s="20">
        <v>1</v>
      </c>
      <c r="M280" s="20" t="s">
        <v>1095</v>
      </c>
      <c r="N280" s="59" t="s">
        <v>719</v>
      </c>
      <c r="O280" s="20" t="s">
        <v>14</v>
      </c>
      <c r="P280" s="20"/>
      <c r="Q280" s="20" t="s">
        <v>21</v>
      </c>
      <c r="R280" s="20" t="s">
        <v>15</v>
      </c>
      <c r="S280" s="20"/>
      <c r="T280" s="20" t="s">
        <v>346</v>
      </c>
      <c r="U280" s="20" t="s">
        <v>346</v>
      </c>
      <c r="V280" s="20" t="s">
        <v>738</v>
      </c>
      <c r="W280" s="59" t="s">
        <v>735</v>
      </c>
      <c r="X280" s="59" t="s">
        <v>842</v>
      </c>
      <c r="Y280" s="20" t="s">
        <v>717</v>
      </c>
      <c r="Z280" s="71">
        <v>0</v>
      </c>
      <c r="AA280" s="71">
        <v>11800</v>
      </c>
      <c r="AB280" s="71">
        <v>11800</v>
      </c>
      <c r="AC280" s="71">
        <v>11200</v>
      </c>
      <c r="AD280" s="110">
        <f t="shared" si="15"/>
        <v>11200</v>
      </c>
      <c r="AE280" s="118" t="s">
        <v>1262</v>
      </c>
    </row>
    <row r="281" spans="2:31" s="57" customFormat="1" x14ac:dyDescent="0.2">
      <c r="B281" s="12">
        <v>279</v>
      </c>
      <c r="C281" s="20">
        <v>2</v>
      </c>
      <c r="D281" s="20">
        <v>3400883</v>
      </c>
      <c r="E281" s="20" t="str">
        <f t="shared" si="14"/>
        <v>3400883</v>
      </c>
      <c r="F281" s="20" t="s">
        <v>418</v>
      </c>
      <c r="G281" s="59" t="s">
        <v>288</v>
      </c>
      <c r="H281" s="58" t="s">
        <v>1181</v>
      </c>
      <c r="I281" s="78" t="s">
        <v>1203</v>
      </c>
      <c r="J281" s="78" t="s">
        <v>1193</v>
      </c>
      <c r="K281" s="20">
        <v>1</v>
      </c>
      <c r="L281" s="20">
        <v>1</v>
      </c>
      <c r="M281" s="20" t="s">
        <v>1095</v>
      </c>
      <c r="N281" s="59" t="s">
        <v>712</v>
      </c>
      <c r="O281" s="20" t="s">
        <v>14</v>
      </c>
      <c r="P281" s="20"/>
      <c r="Q281" s="20" t="s">
        <v>21</v>
      </c>
      <c r="R281" s="20" t="s">
        <v>15</v>
      </c>
      <c r="S281" s="20"/>
      <c r="T281" s="20" t="s">
        <v>346</v>
      </c>
      <c r="U281" s="20" t="s">
        <v>346</v>
      </c>
      <c r="V281" s="20" t="s">
        <v>738</v>
      </c>
      <c r="W281" s="59" t="s">
        <v>890</v>
      </c>
      <c r="X281" s="59" t="s">
        <v>893</v>
      </c>
      <c r="Y281" s="20" t="s">
        <v>717</v>
      </c>
      <c r="Z281" s="71">
        <v>0</v>
      </c>
      <c r="AA281" s="71">
        <v>10240</v>
      </c>
      <c r="AB281" s="71">
        <v>10240</v>
      </c>
      <c r="AC281" s="71">
        <v>9850</v>
      </c>
      <c r="AD281" s="110">
        <f t="shared" si="15"/>
        <v>9850</v>
      </c>
      <c r="AE281" s="118">
        <v>45877</v>
      </c>
    </row>
    <row r="282" spans="2:31" s="57" customFormat="1" x14ac:dyDescent="0.2">
      <c r="B282" s="12">
        <v>280</v>
      </c>
      <c r="C282" s="20">
        <v>2</v>
      </c>
      <c r="D282" s="20">
        <v>3401043</v>
      </c>
      <c r="E282" s="20" t="str">
        <f t="shared" ref="E282:E326" si="16">TRIM(D282)</f>
        <v>3401043</v>
      </c>
      <c r="F282" s="20" t="s">
        <v>424</v>
      </c>
      <c r="G282" s="59" t="s">
        <v>289</v>
      </c>
      <c r="H282" s="58" t="s">
        <v>1181</v>
      </c>
      <c r="I282" s="78" t="s">
        <v>1204</v>
      </c>
      <c r="J282" s="78" t="s">
        <v>1193</v>
      </c>
      <c r="K282" s="20">
        <v>12</v>
      </c>
      <c r="L282" s="20">
        <v>12</v>
      </c>
      <c r="M282" s="20" t="s">
        <v>1095</v>
      </c>
      <c r="N282" s="59" t="s">
        <v>712</v>
      </c>
      <c r="O282" s="20" t="s">
        <v>14</v>
      </c>
      <c r="P282" s="20"/>
      <c r="Q282" s="20" t="s">
        <v>211</v>
      </c>
      <c r="R282" s="20" t="s">
        <v>15</v>
      </c>
      <c r="S282" s="20"/>
      <c r="T282" s="20" t="s">
        <v>346</v>
      </c>
      <c r="U282" s="20" t="s">
        <v>346</v>
      </c>
      <c r="V282" s="20" t="s">
        <v>738</v>
      </c>
      <c r="W282" s="59" t="s">
        <v>890</v>
      </c>
      <c r="X282" s="59" t="s">
        <v>893</v>
      </c>
      <c r="Y282" s="20" t="s">
        <v>717</v>
      </c>
      <c r="Z282" s="71">
        <v>4437</v>
      </c>
      <c r="AA282" s="71">
        <v>6720</v>
      </c>
      <c r="AB282" s="71">
        <v>80640</v>
      </c>
      <c r="AC282" s="71">
        <v>6460</v>
      </c>
      <c r="AD282" s="110">
        <f t="shared" si="15"/>
        <v>77520</v>
      </c>
      <c r="AE282" s="118">
        <v>45877</v>
      </c>
    </row>
    <row r="283" spans="2:31" s="57" customFormat="1" x14ac:dyDescent="0.2">
      <c r="B283" s="12">
        <v>281</v>
      </c>
      <c r="C283" s="20">
        <v>2</v>
      </c>
      <c r="D283" s="20">
        <v>3401883</v>
      </c>
      <c r="E283" s="20" t="str">
        <f t="shared" si="16"/>
        <v>3401883</v>
      </c>
      <c r="F283" s="20" t="s">
        <v>410</v>
      </c>
      <c r="G283" s="59" t="s">
        <v>290</v>
      </c>
      <c r="H283" s="58" t="s">
        <v>1181</v>
      </c>
      <c r="I283" s="78" t="s">
        <v>1205</v>
      </c>
      <c r="J283" s="78" t="s">
        <v>1193</v>
      </c>
      <c r="K283" s="20">
        <v>1</v>
      </c>
      <c r="L283" s="20">
        <v>1</v>
      </c>
      <c r="M283" s="20" t="s">
        <v>1095</v>
      </c>
      <c r="N283" s="59" t="s">
        <v>712</v>
      </c>
      <c r="O283" s="20" t="s">
        <v>14</v>
      </c>
      <c r="P283" s="20"/>
      <c r="Q283" s="20" t="s">
        <v>21</v>
      </c>
      <c r="R283" s="20" t="s">
        <v>15</v>
      </c>
      <c r="S283" s="20"/>
      <c r="T283" s="20" t="s">
        <v>346</v>
      </c>
      <c r="U283" s="20" t="s">
        <v>346</v>
      </c>
      <c r="V283" s="20" t="s">
        <v>738</v>
      </c>
      <c r="W283" s="59" t="s">
        <v>890</v>
      </c>
      <c r="X283" s="59" t="s">
        <v>893</v>
      </c>
      <c r="Y283" s="20" t="s">
        <v>717</v>
      </c>
      <c r="Z283" s="71">
        <v>0</v>
      </c>
      <c r="AA283" s="71">
        <v>8610</v>
      </c>
      <c r="AB283" s="71">
        <v>8610</v>
      </c>
      <c r="AC283" s="71">
        <v>8280</v>
      </c>
      <c r="AD283" s="110">
        <f t="shared" si="15"/>
        <v>8280</v>
      </c>
      <c r="AE283" s="118">
        <v>45877</v>
      </c>
    </row>
    <row r="284" spans="2:31" s="57" customFormat="1" x14ac:dyDescent="0.2">
      <c r="B284" s="12">
        <v>282</v>
      </c>
      <c r="C284" s="20">
        <v>2</v>
      </c>
      <c r="D284" s="20">
        <v>3402836</v>
      </c>
      <c r="E284" s="20" t="str">
        <f t="shared" si="16"/>
        <v>3402836</v>
      </c>
      <c r="F284" s="20" t="s">
        <v>422</v>
      </c>
      <c r="G284" s="59" t="s">
        <v>263</v>
      </c>
      <c r="H284" s="58" t="s">
        <v>856</v>
      </c>
      <c r="I284" s="78" t="s">
        <v>1202</v>
      </c>
      <c r="J284" s="78" t="s">
        <v>1193</v>
      </c>
      <c r="K284" s="20">
        <v>1</v>
      </c>
      <c r="L284" s="20">
        <v>1</v>
      </c>
      <c r="M284" s="20" t="s">
        <v>1095</v>
      </c>
      <c r="N284" s="59" t="s">
        <v>718</v>
      </c>
      <c r="O284" s="20" t="s">
        <v>14</v>
      </c>
      <c r="P284" s="20"/>
      <c r="Q284" s="20" t="s">
        <v>21</v>
      </c>
      <c r="R284" s="20" t="s">
        <v>15</v>
      </c>
      <c r="S284" s="20"/>
      <c r="T284" s="20" t="s">
        <v>346</v>
      </c>
      <c r="U284" s="20" t="s">
        <v>346</v>
      </c>
      <c r="V284" s="20" t="s">
        <v>738</v>
      </c>
      <c r="W284" s="59" t="s">
        <v>853</v>
      </c>
      <c r="X284" s="59" t="s">
        <v>855</v>
      </c>
      <c r="Y284" s="20" t="s">
        <v>717</v>
      </c>
      <c r="Z284" s="71">
        <v>0</v>
      </c>
      <c r="AA284" s="71">
        <v>1260</v>
      </c>
      <c r="AB284" s="71">
        <v>2520</v>
      </c>
      <c r="AC284" s="71">
        <v>1260</v>
      </c>
      <c r="AD284" s="110">
        <f t="shared" si="15"/>
        <v>1260</v>
      </c>
      <c r="AE284" s="118">
        <v>45877</v>
      </c>
    </row>
    <row r="285" spans="2:31" s="57" customFormat="1" x14ac:dyDescent="0.2">
      <c r="B285" s="12">
        <v>283</v>
      </c>
      <c r="C285" s="20">
        <v>2</v>
      </c>
      <c r="D285" s="20">
        <v>3402853</v>
      </c>
      <c r="E285" s="20" t="str">
        <f t="shared" si="16"/>
        <v>3402853</v>
      </c>
      <c r="F285" s="20" t="s">
        <v>461</v>
      </c>
      <c r="G285" s="59" t="s">
        <v>291</v>
      </c>
      <c r="H285" s="58" t="s">
        <v>856</v>
      </c>
      <c r="I285" s="78" t="s">
        <v>877</v>
      </c>
      <c r="J285" s="78" t="s">
        <v>1193</v>
      </c>
      <c r="K285" s="20">
        <v>1</v>
      </c>
      <c r="L285" s="20">
        <v>1</v>
      </c>
      <c r="M285" s="20" t="s">
        <v>1095</v>
      </c>
      <c r="N285" s="59" t="s">
        <v>719</v>
      </c>
      <c r="O285" s="20" t="s">
        <v>14</v>
      </c>
      <c r="P285" s="20"/>
      <c r="Q285" s="20" t="s">
        <v>21</v>
      </c>
      <c r="R285" s="20" t="s">
        <v>15</v>
      </c>
      <c r="S285" s="20"/>
      <c r="T285" s="20" t="s">
        <v>346</v>
      </c>
      <c r="U285" s="20" t="s">
        <v>346</v>
      </c>
      <c r="V285" s="20" t="s">
        <v>738</v>
      </c>
      <c r="W285" s="59" t="s">
        <v>853</v>
      </c>
      <c r="X285" s="59" t="s">
        <v>855</v>
      </c>
      <c r="Y285" s="20" t="s">
        <v>717</v>
      </c>
      <c r="Z285" s="71">
        <v>0</v>
      </c>
      <c r="AA285" s="71">
        <v>9080</v>
      </c>
      <c r="AB285" s="71">
        <v>9080</v>
      </c>
      <c r="AC285" s="71">
        <v>87660</v>
      </c>
      <c r="AD285" s="110">
        <f t="shared" si="15"/>
        <v>87660</v>
      </c>
      <c r="AE285" s="118" t="s">
        <v>1264</v>
      </c>
    </row>
    <row r="286" spans="2:31" s="57" customFormat="1" x14ac:dyDescent="0.2">
      <c r="B286" s="12">
        <v>284</v>
      </c>
      <c r="C286" s="20">
        <v>2</v>
      </c>
      <c r="D286" s="20">
        <v>3402873</v>
      </c>
      <c r="E286" s="20" t="str">
        <f t="shared" si="16"/>
        <v>3402873</v>
      </c>
      <c r="F286" s="20" t="s">
        <v>422</v>
      </c>
      <c r="G286" s="59" t="s">
        <v>292</v>
      </c>
      <c r="H286" s="58" t="s">
        <v>856</v>
      </c>
      <c r="I286" s="78" t="s">
        <v>878</v>
      </c>
      <c r="J286" s="78" t="s">
        <v>1193</v>
      </c>
      <c r="K286" s="20">
        <v>3</v>
      </c>
      <c r="L286" s="20">
        <v>3</v>
      </c>
      <c r="M286" s="20" t="s">
        <v>1095</v>
      </c>
      <c r="N286" s="59" t="s">
        <v>718</v>
      </c>
      <c r="O286" s="20" t="s">
        <v>14</v>
      </c>
      <c r="P286" s="20"/>
      <c r="Q286" s="20" t="s">
        <v>74</v>
      </c>
      <c r="R286" s="20" t="s">
        <v>15</v>
      </c>
      <c r="S286" s="20"/>
      <c r="T286" s="20" t="s">
        <v>346</v>
      </c>
      <c r="U286" s="20" t="s">
        <v>346</v>
      </c>
      <c r="V286" s="20" t="s">
        <v>738</v>
      </c>
      <c r="W286" s="59" t="s">
        <v>853</v>
      </c>
      <c r="X286" s="59" t="s">
        <v>855</v>
      </c>
      <c r="Y286" s="20" t="s">
        <v>717</v>
      </c>
      <c r="Z286" s="71">
        <v>0</v>
      </c>
      <c r="AA286" s="71">
        <v>1840</v>
      </c>
      <c r="AB286" s="71">
        <v>5520</v>
      </c>
      <c r="AC286" s="71">
        <v>1840</v>
      </c>
      <c r="AD286" s="110">
        <f t="shared" si="15"/>
        <v>5520</v>
      </c>
      <c r="AE286" s="118">
        <v>45877</v>
      </c>
    </row>
    <row r="287" spans="2:31" s="57" customFormat="1" x14ac:dyDescent="0.2">
      <c r="B287" s="12">
        <v>285</v>
      </c>
      <c r="C287" s="20">
        <v>2</v>
      </c>
      <c r="D287" s="20">
        <v>3402930</v>
      </c>
      <c r="E287" s="20" t="str">
        <f t="shared" si="16"/>
        <v>3402930</v>
      </c>
      <c r="F287" s="20" t="s">
        <v>480</v>
      </c>
      <c r="G287" s="59" t="s">
        <v>294</v>
      </c>
      <c r="H287" s="58" t="s">
        <v>856</v>
      </c>
      <c r="I287" s="78" t="s">
        <v>879</v>
      </c>
      <c r="J287" s="78" t="s">
        <v>1193</v>
      </c>
      <c r="K287" s="20">
        <v>1</v>
      </c>
      <c r="L287" s="20">
        <v>1</v>
      </c>
      <c r="M287" s="20" t="s">
        <v>1095</v>
      </c>
      <c r="N287" s="59" t="s">
        <v>719</v>
      </c>
      <c r="O287" s="20" t="s">
        <v>14</v>
      </c>
      <c r="P287" s="20"/>
      <c r="Q287" s="20" t="s">
        <v>21</v>
      </c>
      <c r="R287" s="20" t="s">
        <v>15</v>
      </c>
      <c r="S287" s="20"/>
      <c r="T287" s="20" t="s">
        <v>346</v>
      </c>
      <c r="U287" s="20" t="s">
        <v>346</v>
      </c>
      <c r="V287" s="20" t="s">
        <v>738</v>
      </c>
      <c r="W287" s="59" t="s">
        <v>853</v>
      </c>
      <c r="X287" s="59" t="s">
        <v>855</v>
      </c>
      <c r="Y287" s="20" t="s">
        <v>717</v>
      </c>
      <c r="Z287" s="71">
        <v>0</v>
      </c>
      <c r="AA287" s="71">
        <v>1870</v>
      </c>
      <c r="AB287" s="71">
        <v>1870</v>
      </c>
      <c r="AC287" s="71">
        <v>1870</v>
      </c>
      <c r="AD287" s="110">
        <f t="shared" si="15"/>
        <v>1870</v>
      </c>
      <c r="AE287" s="118">
        <v>45877</v>
      </c>
    </row>
    <row r="288" spans="2:31" s="57" customFormat="1" x14ac:dyDescent="0.2">
      <c r="B288" s="12">
        <v>286</v>
      </c>
      <c r="C288" s="20">
        <v>2</v>
      </c>
      <c r="D288" s="20">
        <v>3402935</v>
      </c>
      <c r="E288" s="20" t="str">
        <f t="shared" si="16"/>
        <v>3402935</v>
      </c>
      <c r="F288" s="20" t="s">
        <v>410</v>
      </c>
      <c r="G288" s="59" t="s">
        <v>259</v>
      </c>
      <c r="H288" s="58" t="s">
        <v>856</v>
      </c>
      <c r="I288" s="78" t="s">
        <v>870</v>
      </c>
      <c r="J288" s="78" t="s">
        <v>1193</v>
      </c>
      <c r="K288" s="20">
        <v>5</v>
      </c>
      <c r="L288" s="20">
        <v>5</v>
      </c>
      <c r="M288" s="20" t="s">
        <v>1095</v>
      </c>
      <c r="N288" s="59" t="s">
        <v>719</v>
      </c>
      <c r="O288" s="20" t="s">
        <v>14</v>
      </c>
      <c r="P288" s="20"/>
      <c r="Q288" s="20" t="s">
        <v>190</v>
      </c>
      <c r="R288" s="20" t="s">
        <v>15</v>
      </c>
      <c r="S288" s="20"/>
      <c r="T288" s="20" t="s">
        <v>346</v>
      </c>
      <c r="U288" s="20" t="s">
        <v>346</v>
      </c>
      <c r="V288" s="20" t="s">
        <v>738</v>
      </c>
      <c r="W288" s="59" t="s">
        <v>853</v>
      </c>
      <c r="X288" s="59" t="s">
        <v>855</v>
      </c>
      <c r="Y288" s="20" t="s">
        <v>717</v>
      </c>
      <c r="Z288" s="71">
        <v>0</v>
      </c>
      <c r="AA288" s="71">
        <v>1070</v>
      </c>
      <c r="AB288" s="71">
        <v>3210</v>
      </c>
      <c r="AC288" s="71">
        <v>1070</v>
      </c>
      <c r="AD288" s="110">
        <f t="shared" si="15"/>
        <v>5350</v>
      </c>
      <c r="AE288" s="118">
        <v>45877</v>
      </c>
    </row>
    <row r="289" spans="2:31" s="57" customFormat="1" x14ac:dyDescent="0.2">
      <c r="B289" s="12">
        <v>287</v>
      </c>
      <c r="C289" s="20">
        <v>2</v>
      </c>
      <c r="D289" s="20">
        <v>3402936</v>
      </c>
      <c r="E289" s="20" t="str">
        <f t="shared" si="16"/>
        <v>3402936</v>
      </c>
      <c r="F289" s="20" t="s">
        <v>410</v>
      </c>
      <c r="G289" s="59" t="s">
        <v>295</v>
      </c>
      <c r="H289" s="58" t="s">
        <v>856</v>
      </c>
      <c r="I289" s="78" t="s">
        <v>880</v>
      </c>
      <c r="J289" s="78" t="s">
        <v>1193</v>
      </c>
      <c r="K289" s="20">
        <v>1</v>
      </c>
      <c r="L289" s="20">
        <v>1</v>
      </c>
      <c r="M289" s="20" t="s">
        <v>1095</v>
      </c>
      <c r="N289" s="59" t="s">
        <v>719</v>
      </c>
      <c r="O289" s="20" t="s">
        <v>14</v>
      </c>
      <c r="P289" s="20"/>
      <c r="Q289" s="20" t="s">
        <v>21</v>
      </c>
      <c r="R289" s="20" t="s">
        <v>15</v>
      </c>
      <c r="S289" s="20"/>
      <c r="T289" s="20" t="s">
        <v>346</v>
      </c>
      <c r="U289" s="20" t="s">
        <v>346</v>
      </c>
      <c r="V289" s="20" t="s">
        <v>738</v>
      </c>
      <c r="W289" s="59" t="s">
        <v>853</v>
      </c>
      <c r="X289" s="59" t="s">
        <v>855</v>
      </c>
      <c r="Y289" s="20" t="s">
        <v>717</v>
      </c>
      <c r="Z289" s="71">
        <v>0</v>
      </c>
      <c r="AA289" s="71">
        <v>1070</v>
      </c>
      <c r="AB289" s="71">
        <v>1070</v>
      </c>
      <c r="AC289" s="71">
        <v>1070</v>
      </c>
      <c r="AD289" s="110">
        <f t="shared" si="15"/>
        <v>1070</v>
      </c>
      <c r="AE289" s="118">
        <v>45877</v>
      </c>
    </row>
    <row r="290" spans="2:31" s="57" customFormat="1" x14ac:dyDescent="0.2">
      <c r="B290" s="12">
        <v>288</v>
      </c>
      <c r="C290" s="20">
        <v>2</v>
      </c>
      <c r="D290" s="20">
        <v>400000508</v>
      </c>
      <c r="E290" s="20" t="str">
        <f t="shared" si="16"/>
        <v>400000508</v>
      </c>
      <c r="F290" s="20" t="s">
        <v>410</v>
      </c>
      <c r="G290" s="59" t="s">
        <v>296</v>
      </c>
      <c r="H290" s="58" t="s">
        <v>772</v>
      </c>
      <c r="I290" s="78">
        <v>3568</v>
      </c>
      <c r="J290" s="78" t="s">
        <v>1193</v>
      </c>
      <c r="K290" s="20">
        <v>4</v>
      </c>
      <c r="L290" s="20">
        <v>4</v>
      </c>
      <c r="M290" s="20" t="s">
        <v>1095</v>
      </c>
      <c r="N290" s="59" t="s">
        <v>718</v>
      </c>
      <c r="O290" s="20" t="s">
        <v>14</v>
      </c>
      <c r="P290" s="20"/>
      <c r="Q290" s="20" t="s">
        <v>55</v>
      </c>
      <c r="R290" s="20" t="s">
        <v>15</v>
      </c>
      <c r="S290" s="20"/>
      <c r="T290" s="20" t="s">
        <v>346</v>
      </c>
      <c r="U290" s="20" t="s">
        <v>346</v>
      </c>
      <c r="V290" s="20" t="s">
        <v>738</v>
      </c>
      <c r="W290" s="59" t="s">
        <v>809</v>
      </c>
      <c r="X290" s="59" t="s">
        <v>847</v>
      </c>
      <c r="Y290" s="20" t="s">
        <v>717</v>
      </c>
      <c r="Z290" s="71">
        <v>0</v>
      </c>
      <c r="AA290" s="71">
        <v>2000</v>
      </c>
      <c r="AB290" s="71">
        <v>8000</v>
      </c>
      <c r="AC290" s="71">
        <v>1200</v>
      </c>
      <c r="AD290" s="110">
        <f t="shared" si="15"/>
        <v>4800</v>
      </c>
      <c r="AE290" s="118" t="s">
        <v>1263</v>
      </c>
    </row>
    <row r="291" spans="2:31" s="57" customFormat="1" x14ac:dyDescent="0.2">
      <c r="B291" s="12">
        <v>289</v>
      </c>
      <c r="C291" s="20">
        <v>2</v>
      </c>
      <c r="D291" s="20">
        <v>400000566</v>
      </c>
      <c r="E291" s="20" t="str">
        <f t="shared" si="16"/>
        <v>400000566</v>
      </c>
      <c r="F291" s="20" t="s">
        <v>410</v>
      </c>
      <c r="G291" s="59" t="s">
        <v>297</v>
      </c>
      <c r="H291" s="58" t="s">
        <v>863</v>
      </c>
      <c r="I291" s="78">
        <v>87631</v>
      </c>
      <c r="J291" s="78" t="s">
        <v>1193</v>
      </c>
      <c r="K291" s="20">
        <v>6</v>
      </c>
      <c r="L291" s="20">
        <v>6</v>
      </c>
      <c r="M291" s="20" t="s">
        <v>1095</v>
      </c>
      <c r="N291" s="59" t="s">
        <v>718</v>
      </c>
      <c r="O291" s="20" t="s">
        <v>14</v>
      </c>
      <c r="P291" s="20"/>
      <c r="Q291" s="20" t="s">
        <v>200</v>
      </c>
      <c r="R291" s="20" t="s">
        <v>15</v>
      </c>
      <c r="S291" s="20"/>
      <c r="T291" s="20" t="s">
        <v>346</v>
      </c>
      <c r="U291" s="20" t="s">
        <v>346</v>
      </c>
      <c r="V291" s="20" t="s">
        <v>836</v>
      </c>
      <c r="W291" s="59" t="s">
        <v>891</v>
      </c>
      <c r="X291" s="59" t="s">
        <v>751</v>
      </c>
      <c r="Y291" s="20" t="s">
        <v>717</v>
      </c>
      <c r="Z291" s="71">
        <v>1145.5</v>
      </c>
      <c r="AA291" s="71">
        <v>3200</v>
      </c>
      <c r="AB291" s="71">
        <v>19200</v>
      </c>
      <c r="AC291" s="71">
        <v>3200</v>
      </c>
      <c r="AD291" s="105">
        <f t="shared" si="15"/>
        <v>19200</v>
      </c>
      <c r="AE291" s="118"/>
    </row>
    <row r="292" spans="2:31" s="57" customFormat="1" x14ac:dyDescent="0.2">
      <c r="B292" s="12">
        <v>290</v>
      </c>
      <c r="C292" s="20">
        <v>2</v>
      </c>
      <c r="D292" s="20">
        <v>4001168</v>
      </c>
      <c r="E292" s="20" t="str">
        <f t="shared" si="16"/>
        <v>4001168</v>
      </c>
      <c r="F292" s="20" t="s">
        <v>481</v>
      </c>
      <c r="G292" s="59" t="s">
        <v>299</v>
      </c>
      <c r="H292" s="58" t="s">
        <v>864</v>
      </c>
      <c r="I292" s="78" t="s">
        <v>881</v>
      </c>
      <c r="J292" s="78" t="s">
        <v>1193</v>
      </c>
      <c r="K292" s="20">
        <v>8</v>
      </c>
      <c r="L292" s="20">
        <v>8</v>
      </c>
      <c r="M292" s="20" t="s">
        <v>1095</v>
      </c>
      <c r="N292" s="59" t="s">
        <v>712</v>
      </c>
      <c r="O292" s="20" t="s">
        <v>14</v>
      </c>
      <c r="P292" s="20"/>
      <c r="Q292" s="20" t="s">
        <v>132</v>
      </c>
      <c r="R292" s="20" t="s">
        <v>15</v>
      </c>
      <c r="S292" s="20"/>
      <c r="T292" s="20" t="s">
        <v>346</v>
      </c>
      <c r="U292" s="20" t="s">
        <v>346</v>
      </c>
      <c r="V292" s="20" t="s">
        <v>1244</v>
      </c>
      <c r="W292" s="59" t="s">
        <v>806</v>
      </c>
      <c r="X292" s="59" t="s">
        <v>751</v>
      </c>
      <c r="Y292" s="20" t="s">
        <v>717</v>
      </c>
      <c r="Z292" s="71">
        <v>5974</v>
      </c>
      <c r="AA292" s="71">
        <v>73984</v>
      </c>
      <c r="AB292" s="71">
        <f>AA292*K292</f>
        <v>591872</v>
      </c>
      <c r="AC292" s="71">
        <v>95234</v>
      </c>
      <c r="AD292" s="105">
        <f t="shared" si="15"/>
        <v>761872</v>
      </c>
      <c r="AE292" s="118"/>
    </row>
    <row r="293" spans="2:31" s="57" customFormat="1" x14ac:dyDescent="0.2">
      <c r="B293" s="12">
        <v>291</v>
      </c>
      <c r="C293" s="20">
        <v>2</v>
      </c>
      <c r="D293" s="20">
        <v>4001170</v>
      </c>
      <c r="E293" s="20" t="str">
        <f t="shared" si="16"/>
        <v>4001170</v>
      </c>
      <c r="F293" s="20" t="s">
        <v>482</v>
      </c>
      <c r="G293" s="59" t="s">
        <v>301</v>
      </c>
      <c r="H293" s="58" t="s">
        <v>864</v>
      </c>
      <c r="I293" s="78" t="s">
        <v>882</v>
      </c>
      <c r="J293" s="78" t="s">
        <v>1193</v>
      </c>
      <c r="K293" s="20">
        <v>4</v>
      </c>
      <c r="L293" s="20">
        <v>4</v>
      </c>
      <c r="M293" s="20" t="s">
        <v>1095</v>
      </c>
      <c r="N293" s="59" t="s">
        <v>712</v>
      </c>
      <c r="O293" s="20" t="s">
        <v>14</v>
      </c>
      <c r="P293" s="20"/>
      <c r="Q293" s="20" t="s">
        <v>55</v>
      </c>
      <c r="R293" s="20" t="s">
        <v>15</v>
      </c>
      <c r="S293" s="20"/>
      <c r="T293" s="20" t="s">
        <v>346</v>
      </c>
      <c r="U293" s="20" t="s">
        <v>346</v>
      </c>
      <c r="V293" s="20" t="s">
        <v>1244</v>
      </c>
      <c r="W293" s="59" t="s">
        <v>806</v>
      </c>
      <c r="X293" s="59" t="s">
        <v>751</v>
      </c>
      <c r="Y293" s="20" t="s">
        <v>717</v>
      </c>
      <c r="Z293" s="71">
        <v>8917.5</v>
      </c>
      <c r="AA293" s="71">
        <v>16768</v>
      </c>
      <c r="AB293" s="71">
        <f>AA293*K293</f>
        <v>67072</v>
      </c>
      <c r="AC293" s="71">
        <v>38018</v>
      </c>
      <c r="AD293" s="105">
        <f t="shared" si="15"/>
        <v>152072</v>
      </c>
      <c r="AE293" s="118"/>
    </row>
    <row r="294" spans="2:31" s="57" customFormat="1" ht="27" x14ac:dyDescent="0.2">
      <c r="B294" s="19">
        <v>292</v>
      </c>
      <c r="C294" s="18">
        <v>2</v>
      </c>
      <c r="D294" s="18">
        <v>440000185</v>
      </c>
      <c r="E294" s="18" t="str">
        <f t="shared" si="16"/>
        <v>440000185</v>
      </c>
      <c r="F294" s="18" t="s">
        <v>483</v>
      </c>
      <c r="G294" s="56" t="s">
        <v>303</v>
      </c>
      <c r="H294" s="55" t="s">
        <v>712</v>
      </c>
      <c r="I294" s="76" t="s">
        <v>883</v>
      </c>
      <c r="J294" s="76" t="s">
        <v>1193</v>
      </c>
      <c r="K294" s="18">
        <v>2</v>
      </c>
      <c r="L294" s="18">
        <v>2</v>
      </c>
      <c r="M294" s="18" t="s">
        <v>1095</v>
      </c>
      <c r="N294" s="56" t="s">
        <v>712</v>
      </c>
      <c r="O294" s="18" t="s">
        <v>14</v>
      </c>
      <c r="P294" s="18"/>
      <c r="Q294" s="18" t="s">
        <v>18</v>
      </c>
      <c r="R294" s="18" t="s">
        <v>38</v>
      </c>
      <c r="S294" s="18"/>
      <c r="T294" s="18" t="s">
        <v>346</v>
      </c>
      <c r="U294" s="18" t="s">
        <v>346</v>
      </c>
      <c r="V294" s="20" t="s">
        <v>722</v>
      </c>
      <c r="W294" s="56" t="s">
        <v>815</v>
      </c>
      <c r="X294" s="56" t="s">
        <v>751</v>
      </c>
      <c r="Y294" s="18" t="s">
        <v>717</v>
      </c>
      <c r="Z294" s="73">
        <v>0</v>
      </c>
      <c r="AA294" s="73">
        <v>8</v>
      </c>
      <c r="AB294" s="73">
        <v>16</v>
      </c>
      <c r="AC294" s="73">
        <v>8</v>
      </c>
      <c r="AD294" s="110">
        <f t="shared" si="15"/>
        <v>16</v>
      </c>
      <c r="AE294" s="118"/>
    </row>
    <row r="295" spans="2:31" s="57" customFormat="1" x14ac:dyDescent="0.2">
      <c r="B295" s="12">
        <v>293</v>
      </c>
      <c r="C295" s="20">
        <v>2</v>
      </c>
      <c r="D295" s="20">
        <v>440000287</v>
      </c>
      <c r="E295" s="20" t="str">
        <f t="shared" si="16"/>
        <v>440000287</v>
      </c>
      <c r="F295" s="20" t="s">
        <v>484</v>
      </c>
      <c r="G295" s="59" t="s">
        <v>390</v>
      </c>
      <c r="H295" s="58" t="s">
        <v>747</v>
      </c>
      <c r="I295" s="78" t="s">
        <v>1201</v>
      </c>
      <c r="J295" s="78" t="s">
        <v>1193</v>
      </c>
      <c r="K295" s="20">
        <v>4</v>
      </c>
      <c r="L295" s="20">
        <v>4</v>
      </c>
      <c r="M295" s="20" t="s">
        <v>1095</v>
      </c>
      <c r="N295" s="59" t="s">
        <v>720</v>
      </c>
      <c r="O295" s="20" t="s">
        <v>14</v>
      </c>
      <c r="P295" s="20"/>
      <c r="Q295" s="20" t="s">
        <v>55</v>
      </c>
      <c r="R295" s="20" t="s">
        <v>15</v>
      </c>
      <c r="S295" s="20"/>
      <c r="T295" s="20" t="s">
        <v>346</v>
      </c>
      <c r="U295" s="20" t="s">
        <v>346</v>
      </c>
      <c r="V295" s="20" t="s">
        <v>1238</v>
      </c>
      <c r="W295" s="59" t="s">
        <v>805</v>
      </c>
      <c r="X295" s="59" t="s">
        <v>840</v>
      </c>
      <c r="Y295" s="20" t="s">
        <v>843</v>
      </c>
      <c r="Z295" s="71">
        <v>0</v>
      </c>
      <c r="AA295" s="71">
        <v>250</v>
      </c>
      <c r="AB295" s="71">
        <v>250</v>
      </c>
      <c r="AC295" s="71">
        <v>9.44</v>
      </c>
      <c r="AD295" s="105">
        <f>$AC295*$Y$1</f>
        <v>12800.64</v>
      </c>
      <c r="AE295" s="118"/>
    </row>
    <row r="296" spans="2:31" s="57" customFormat="1" ht="27" x14ac:dyDescent="0.2">
      <c r="B296" s="12">
        <v>294</v>
      </c>
      <c r="C296" s="20">
        <v>2</v>
      </c>
      <c r="D296" s="20">
        <v>4400029</v>
      </c>
      <c r="E296" s="20" t="str">
        <f t="shared" si="16"/>
        <v>4400029</v>
      </c>
      <c r="F296" s="20" t="s">
        <v>485</v>
      </c>
      <c r="G296" s="59" t="s">
        <v>370</v>
      </c>
      <c r="H296" s="58" t="s">
        <v>712</v>
      </c>
      <c r="I296" s="78" t="s">
        <v>884</v>
      </c>
      <c r="J296" s="78" t="s">
        <v>1193</v>
      </c>
      <c r="K296" s="20">
        <v>6</v>
      </c>
      <c r="L296" s="20">
        <v>6</v>
      </c>
      <c r="M296" s="20" t="s">
        <v>1095</v>
      </c>
      <c r="N296" s="59" t="s">
        <v>720</v>
      </c>
      <c r="O296" s="20" t="s">
        <v>14</v>
      </c>
      <c r="P296" s="20"/>
      <c r="Q296" s="20" t="s">
        <v>200</v>
      </c>
      <c r="R296" s="20" t="s">
        <v>15</v>
      </c>
      <c r="S296" s="20"/>
      <c r="T296" s="20" t="s">
        <v>346</v>
      </c>
      <c r="U296" s="20" t="s">
        <v>346</v>
      </c>
      <c r="V296" s="20" t="s">
        <v>722</v>
      </c>
      <c r="W296" s="59" t="s">
        <v>815</v>
      </c>
      <c r="X296" s="59" t="s">
        <v>751</v>
      </c>
      <c r="Y296" s="20" t="s">
        <v>717</v>
      </c>
      <c r="Z296" s="71">
        <v>0</v>
      </c>
      <c r="AA296" s="71">
        <v>125</v>
      </c>
      <c r="AB296" s="71">
        <v>750</v>
      </c>
      <c r="AC296" s="71">
        <v>125</v>
      </c>
      <c r="AD296" s="105">
        <f t="shared" ref="AD296:AD312" si="17">$AC296*$K296</f>
        <v>750</v>
      </c>
      <c r="AE296" s="118"/>
    </row>
    <row r="297" spans="2:31" s="57" customFormat="1" ht="27" x14ac:dyDescent="0.2">
      <c r="B297" s="19">
        <v>295</v>
      </c>
      <c r="C297" s="18">
        <v>2</v>
      </c>
      <c r="D297" s="18">
        <v>4400033</v>
      </c>
      <c r="E297" s="18" t="str">
        <f t="shared" si="16"/>
        <v>4400033</v>
      </c>
      <c r="F297" s="18" t="s">
        <v>482</v>
      </c>
      <c r="G297" s="56" t="s">
        <v>347</v>
      </c>
      <c r="H297" s="55" t="s">
        <v>712</v>
      </c>
      <c r="I297" s="76" t="s">
        <v>885</v>
      </c>
      <c r="J297" s="76" t="s">
        <v>397</v>
      </c>
      <c r="K297" s="18">
        <v>6</v>
      </c>
      <c r="L297" s="18">
        <v>6</v>
      </c>
      <c r="M297" s="18" t="s">
        <v>1095</v>
      </c>
      <c r="N297" s="56" t="s">
        <v>720</v>
      </c>
      <c r="O297" s="18" t="s">
        <v>14</v>
      </c>
      <c r="P297" s="18"/>
      <c r="Q297" s="18" t="s">
        <v>200</v>
      </c>
      <c r="R297" s="18" t="s">
        <v>38</v>
      </c>
      <c r="S297" s="18"/>
      <c r="T297" s="18" t="s">
        <v>346</v>
      </c>
      <c r="U297" s="18" t="s">
        <v>346</v>
      </c>
      <c r="V297" s="20" t="s">
        <v>722</v>
      </c>
      <c r="W297" s="56" t="s">
        <v>815</v>
      </c>
      <c r="X297" s="56" t="s">
        <v>751</v>
      </c>
      <c r="Y297" s="18" t="s">
        <v>717</v>
      </c>
      <c r="Z297" s="73">
        <v>0</v>
      </c>
      <c r="AA297" s="73">
        <v>3</v>
      </c>
      <c r="AB297" s="73">
        <v>18</v>
      </c>
      <c r="AC297" s="73">
        <v>3</v>
      </c>
      <c r="AD297" s="110">
        <f t="shared" si="17"/>
        <v>18</v>
      </c>
      <c r="AE297" s="118"/>
    </row>
    <row r="298" spans="2:31" s="57" customFormat="1" ht="27" x14ac:dyDescent="0.2">
      <c r="B298" s="12">
        <v>296</v>
      </c>
      <c r="C298" s="20">
        <v>2</v>
      </c>
      <c r="D298" s="20">
        <v>4400035</v>
      </c>
      <c r="E298" s="20" t="str">
        <f t="shared" si="16"/>
        <v>4400035</v>
      </c>
      <c r="F298" s="20" t="s">
        <v>486</v>
      </c>
      <c r="G298" s="59" t="s">
        <v>348</v>
      </c>
      <c r="H298" s="58" t="s">
        <v>712</v>
      </c>
      <c r="I298" s="78" t="s">
        <v>886</v>
      </c>
      <c r="J298" s="78" t="s">
        <v>1193</v>
      </c>
      <c r="K298" s="20">
        <v>6</v>
      </c>
      <c r="L298" s="20">
        <v>6</v>
      </c>
      <c r="M298" s="20" t="s">
        <v>1095</v>
      </c>
      <c r="N298" s="59" t="s">
        <v>720</v>
      </c>
      <c r="O298" s="20" t="s">
        <v>14</v>
      </c>
      <c r="P298" s="20"/>
      <c r="Q298" s="20" t="s">
        <v>200</v>
      </c>
      <c r="R298" s="20" t="s">
        <v>15</v>
      </c>
      <c r="S298" s="20"/>
      <c r="T298" s="20" t="s">
        <v>346</v>
      </c>
      <c r="U298" s="20" t="s">
        <v>346</v>
      </c>
      <c r="V298" s="20" t="s">
        <v>722</v>
      </c>
      <c r="W298" s="59" t="s">
        <v>815</v>
      </c>
      <c r="X298" s="59" t="s">
        <v>751</v>
      </c>
      <c r="Y298" s="20" t="s">
        <v>717</v>
      </c>
      <c r="Z298" s="71">
        <v>0</v>
      </c>
      <c r="AA298" s="71">
        <v>4</v>
      </c>
      <c r="AB298" s="71">
        <v>24</v>
      </c>
      <c r="AC298" s="71">
        <v>4</v>
      </c>
      <c r="AD298" s="105">
        <f t="shared" si="17"/>
        <v>24</v>
      </c>
      <c r="AE298" s="118"/>
    </row>
    <row r="299" spans="2:31" s="57" customFormat="1" ht="27" x14ac:dyDescent="0.2">
      <c r="B299" s="12">
        <v>297</v>
      </c>
      <c r="C299" s="20">
        <v>2</v>
      </c>
      <c r="D299" s="20">
        <v>4400074</v>
      </c>
      <c r="E299" s="20" t="str">
        <f t="shared" si="16"/>
        <v>4400074</v>
      </c>
      <c r="F299" s="20" t="s">
        <v>413</v>
      </c>
      <c r="G299" s="59" t="s">
        <v>307</v>
      </c>
      <c r="H299" s="58" t="s">
        <v>712</v>
      </c>
      <c r="I299" s="78" t="s">
        <v>307</v>
      </c>
      <c r="J299" s="78" t="s">
        <v>397</v>
      </c>
      <c r="K299" s="20">
        <v>4</v>
      </c>
      <c r="L299" s="20">
        <v>4</v>
      </c>
      <c r="M299" s="20" t="s">
        <v>1095</v>
      </c>
      <c r="N299" s="59" t="s">
        <v>720</v>
      </c>
      <c r="O299" s="20" t="s">
        <v>14</v>
      </c>
      <c r="P299" s="20"/>
      <c r="Q299" s="20" t="s">
        <v>55</v>
      </c>
      <c r="R299" s="20" t="s">
        <v>15</v>
      </c>
      <c r="S299" s="20"/>
      <c r="T299" s="20" t="s">
        <v>346</v>
      </c>
      <c r="U299" s="20" t="s">
        <v>346</v>
      </c>
      <c r="V299" s="20" t="s">
        <v>722</v>
      </c>
      <c r="W299" s="59" t="s">
        <v>815</v>
      </c>
      <c r="X299" s="59" t="s">
        <v>751</v>
      </c>
      <c r="Y299" s="20" t="s">
        <v>717</v>
      </c>
      <c r="Z299" s="71">
        <v>0</v>
      </c>
      <c r="AA299" s="71">
        <v>143</v>
      </c>
      <c r="AB299" s="71">
        <v>572</v>
      </c>
      <c r="AC299" s="71">
        <v>143</v>
      </c>
      <c r="AD299" s="105">
        <f t="shared" si="17"/>
        <v>572</v>
      </c>
      <c r="AE299" s="118"/>
    </row>
    <row r="300" spans="2:31" s="57" customFormat="1" ht="27" x14ac:dyDescent="0.2">
      <c r="B300" s="12">
        <v>298</v>
      </c>
      <c r="C300" s="20">
        <v>2</v>
      </c>
      <c r="D300" s="20">
        <v>4400092</v>
      </c>
      <c r="E300" s="20" t="str">
        <f t="shared" si="16"/>
        <v>4400092</v>
      </c>
      <c r="F300" s="20" t="s">
        <v>417</v>
      </c>
      <c r="G300" s="59" t="s">
        <v>308</v>
      </c>
      <c r="H300" s="58" t="s">
        <v>712</v>
      </c>
      <c r="I300" s="78" t="s">
        <v>308</v>
      </c>
      <c r="J300" s="78" t="s">
        <v>1193</v>
      </c>
      <c r="K300" s="20">
        <v>8</v>
      </c>
      <c r="L300" s="20">
        <v>8</v>
      </c>
      <c r="M300" s="20" t="s">
        <v>1095</v>
      </c>
      <c r="N300" s="59" t="s">
        <v>720</v>
      </c>
      <c r="O300" s="20" t="s">
        <v>14</v>
      </c>
      <c r="P300" s="20"/>
      <c r="Q300" s="20" t="s">
        <v>132</v>
      </c>
      <c r="R300" s="20" t="s">
        <v>15</v>
      </c>
      <c r="S300" s="20"/>
      <c r="T300" s="20" t="s">
        <v>346</v>
      </c>
      <c r="U300" s="20" t="s">
        <v>346</v>
      </c>
      <c r="V300" s="20" t="s">
        <v>722</v>
      </c>
      <c r="W300" s="59" t="s">
        <v>815</v>
      </c>
      <c r="X300" s="59" t="s">
        <v>751</v>
      </c>
      <c r="Y300" s="20" t="s">
        <v>717</v>
      </c>
      <c r="Z300" s="71">
        <v>0</v>
      </c>
      <c r="AA300" s="71">
        <v>308</v>
      </c>
      <c r="AB300" s="71">
        <v>2464</v>
      </c>
      <c r="AC300" s="71">
        <v>308</v>
      </c>
      <c r="AD300" s="105">
        <f t="shared" si="17"/>
        <v>2464</v>
      </c>
      <c r="AE300" s="118"/>
    </row>
    <row r="301" spans="2:31" s="57" customFormat="1" ht="27" x14ac:dyDescent="0.2">
      <c r="B301" s="12">
        <v>299</v>
      </c>
      <c r="C301" s="20">
        <v>2</v>
      </c>
      <c r="D301" s="20">
        <v>4400138</v>
      </c>
      <c r="E301" s="20" t="str">
        <f t="shared" si="16"/>
        <v>4400138</v>
      </c>
      <c r="F301" s="20" t="s">
        <v>487</v>
      </c>
      <c r="G301" s="59" t="s">
        <v>310</v>
      </c>
      <c r="H301" s="58" t="s">
        <v>712</v>
      </c>
      <c r="I301" s="78" t="s">
        <v>310</v>
      </c>
      <c r="J301" s="78" t="s">
        <v>1193</v>
      </c>
      <c r="K301" s="20">
        <v>6</v>
      </c>
      <c r="L301" s="20">
        <v>6</v>
      </c>
      <c r="M301" s="20" t="s">
        <v>1095</v>
      </c>
      <c r="N301" s="59" t="s">
        <v>720</v>
      </c>
      <c r="O301" s="20" t="s">
        <v>14</v>
      </c>
      <c r="P301" s="20"/>
      <c r="Q301" s="20" t="s">
        <v>200</v>
      </c>
      <c r="R301" s="20" t="s">
        <v>15</v>
      </c>
      <c r="S301" s="20"/>
      <c r="T301" s="20" t="s">
        <v>346</v>
      </c>
      <c r="U301" s="20" t="s">
        <v>346</v>
      </c>
      <c r="V301" s="20" t="s">
        <v>722</v>
      </c>
      <c r="W301" s="59" t="s">
        <v>815</v>
      </c>
      <c r="X301" s="59" t="s">
        <v>751</v>
      </c>
      <c r="Y301" s="20" t="s">
        <v>717</v>
      </c>
      <c r="Z301" s="71">
        <v>0</v>
      </c>
      <c r="AA301" s="71">
        <v>100</v>
      </c>
      <c r="AB301" s="71">
        <v>600</v>
      </c>
      <c r="AC301" s="71">
        <v>100</v>
      </c>
      <c r="AD301" s="105">
        <f t="shared" si="17"/>
        <v>600</v>
      </c>
      <c r="AE301" s="118"/>
    </row>
    <row r="302" spans="2:31" s="57" customFormat="1" ht="27" x14ac:dyDescent="0.2">
      <c r="B302" s="12">
        <v>300</v>
      </c>
      <c r="C302" s="20">
        <v>2</v>
      </c>
      <c r="D302" s="20">
        <v>4400142</v>
      </c>
      <c r="E302" s="20" t="str">
        <f t="shared" si="16"/>
        <v>4400142</v>
      </c>
      <c r="F302" s="20" t="s">
        <v>485</v>
      </c>
      <c r="G302" s="59" t="s">
        <v>311</v>
      </c>
      <c r="H302" s="58" t="s">
        <v>712</v>
      </c>
      <c r="I302" s="78" t="s">
        <v>311</v>
      </c>
      <c r="J302" s="78" t="s">
        <v>1193</v>
      </c>
      <c r="K302" s="20">
        <v>1</v>
      </c>
      <c r="L302" s="20">
        <v>1</v>
      </c>
      <c r="M302" s="20" t="s">
        <v>1095</v>
      </c>
      <c r="N302" s="59" t="s">
        <v>720</v>
      </c>
      <c r="O302" s="20" t="s">
        <v>14</v>
      </c>
      <c r="P302" s="20"/>
      <c r="Q302" s="20" t="s">
        <v>21</v>
      </c>
      <c r="R302" s="20" t="s">
        <v>15</v>
      </c>
      <c r="S302" s="20"/>
      <c r="T302" s="20" t="s">
        <v>346</v>
      </c>
      <c r="U302" s="20" t="s">
        <v>346</v>
      </c>
      <c r="V302" s="20" t="s">
        <v>722</v>
      </c>
      <c r="W302" s="59" t="s">
        <v>815</v>
      </c>
      <c r="X302" s="59" t="s">
        <v>751</v>
      </c>
      <c r="Y302" s="20" t="s">
        <v>717</v>
      </c>
      <c r="Z302" s="71">
        <v>0</v>
      </c>
      <c r="AA302" s="71">
        <v>50</v>
      </c>
      <c r="AB302" s="71">
        <v>50</v>
      </c>
      <c r="AC302" s="71">
        <v>50</v>
      </c>
      <c r="AD302" s="105">
        <f t="shared" si="17"/>
        <v>50</v>
      </c>
      <c r="AE302" s="118"/>
    </row>
    <row r="303" spans="2:31" s="57" customFormat="1" ht="40.5" x14ac:dyDescent="0.2">
      <c r="B303" s="12">
        <v>301</v>
      </c>
      <c r="C303" s="20">
        <v>2</v>
      </c>
      <c r="D303" s="20">
        <v>4400154</v>
      </c>
      <c r="E303" s="20" t="str">
        <f t="shared" si="16"/>
        <v>4400154</v>
      </c>
      <c r="F303" s="20" t="s">
        <v>486</v>
      </c>
      <c r="G303" s="59" t="s">
        <v>312</v>
      </c>
      <c r="H303" s="58" t="s">
        <v>712</v>
      </c>
      <c r="I303" s="78" t="s">
        <v>312</v>
      </c>
      <c r="J303" s="78" t="s">
        <v>1193</v>
      </c>
      <c r="K303" s="20">
        <v>16</v>
      </c>
      <c r="L303" s="20">
        <v>16</v>
      </c>
      <c r="M303" s="20" t="s">
        <v>1095</v>
      </c>
      <c r="N303" s="59" t="s">
        <v>720</v>
      </c>
      <c r="O303" s="20" t="s">
        <v>14</v>
      </c>
      <c r="P303" s="20"/>
      <c r="Q303" s="20" t="s">
        <v>209</v>
      </c>
      <c r="R303" s="20" t="s">
        <v>15</v>
      </c>
      <c r="S303" s="20"/>
      <c r="T303" s="20" t="s">
        <v>346</v>
      </c>
      <c r="U303" s="20" t="s">
        <v>346</v>
      </c>
      <c r="V303" s="20" t="s">
        <v>722</v>
      </c>
      <c r="W303" s="59" t="s">
        <v>815</v>
      </c>
      <c r="X303" s="59" t="s">
        <v>751</v>
      </c>
      <c r="Y303" s="20" t="s">
        <v>717</v>
      </c>
      <c r="Z303" s="71">
        <v>0</v>
      </c>
      <c r="AA303" s="71">
        <v>33</v>
      </c>
      <c r="AB303" s="71">
        <v>528</v>
      </c>
      <c r="AC303" s="71">
        <v>33</v>
      </c>
      <c r="AD303" s="105">
        <f t="shared" si="17"/>
        <v>528</v>
      </c>
      <c r="AE303" s="118"/>
    </row>
    <row r="304" spans="2:31" s="57" customFormat="1" ht="40.5" x14ac:dyDescent="0.2">
      <c r="B304" s="12">
        <v>302</v>
      </c>
      <c r="C304" s="20">
        <v>2</v>
      </c>
      <c r="D304" s="20">
        <v>4400211</v>
      </c>
      <c r="E304" s="20" t="str">
        <f t="shared" si="16"/>
        <v>4400211</v>
      </c>
      <c r="F304" s="20" t="s">
        <v>417</v>
      </c>
      <c r="G304" s="59" t="s">
        <v>313</v>
      </c>
      <c r="H304" s="58" t="s">
        <v>712</v>
      </c>
      <c r="I304" s="78" t="s">
        <v>313</v>
      </c>
      <c r="J304" s="78" t="s">
        <v>1193</v>
      </c>
      <c r="K304" s="20">
        <v>16</v>
      </c>
      <c r="L304" s="20">
        <v>16</v>
      </c>
      <c r="M304" s="20" t="s">
        <v>1095</v>
      </c>
      <c r="N304" s="59" t="s">
        <v>720</v>
      </c>
      <c r="O304" s="20" t="s">
        <v>14</v>
      </c>
      <c r="P304" s="20"/>
      <c r="Q304" s="20" t="s">
        <v>209</v>
      </c>
      <c r="R304" s="20" t="s">
        <v>15</v>
      </c>
      <c r="S304" s="20"/>
      <c r="T304" s="20" t="s">
        <v>346</v>
      </c>
      <c r="U304" s="20" t="s">
        <v>346</v>
      </c>
      <c r="V304" s="20" t="s">
        <v>722</v>
      </c>
      <c r="W304" s="59" t="s">
        <v>815</v>
      </c>
      <c r="X304" s="59" t="s">
        <v>751</v>
      </c>
      <c r="Y304" s="20" t="s">
        <v>717</v>
      </c>
      <c r="Z304" s="71">
        <v>0</v>
      </c>
      <c r="AA304" s="71">
        <v>693</v>
      </c>
      <c r="AB304" s="71">
        <v>11088</v>
      </c>
      <c r="AC304" s="71">
        <v>693</v>
      </c>
      <c r="AD304" s="105">
        <f t="shared" si="17"/>
        <v>11088</v>
      </c>
      <c r="AE304" s="118"/>
    </row>
    <row r="305" spans="2:31" s="57" customFormat="1" x14ac:dyDescent="0.2">
      <c r="B305" s="12">
        <v>303</v>
      </c>
      <c r="C305" s="20">
        <v>2</v>
      </c>
      <c r="D305" s="20">
        <v>4400302</v>
      </c>
      <c r="E305" s="20" t="str">
        <f t="shared" si="16"/>
        <v>4400302</v>
      </c>
      <c r="F305" s="20" t="s">
        <v>488</v>
      </c>
      <c r="G305" s="59" t="s">
        <v>315</v>
      </c>
      <c r="H305" s="58" t="s">
        <v>712</v>
      </c>
      <c r="I305" s="78" t="s">
        <v>315</v>
      </c>
      <c r="J305" s="78" t="s">
        <v>1193</v>
      </c>
      <c r="K305" s="20">
        <v>8</v>
      </c>
      <c r="L305" s="20">
        <v>8</v>
      </c>
      <c r="M305" s="20" t="s">
        <v>1095</v>
      </c>
      <c r="N305" s="59" t="s">
        <v>720</v>
      </c>
      <c r="O305" s="20" t="s">
        <v>14</v>
      </c>
      <c r="P305" s="20"/>
      <c r="Q305" s="20" t="s">
        <v>132</v>
      </c>
      <c r="R305" s="20" t="s">
        <v>15</v>
      </c>
      <c r="S305" s="20"/>
      <c r="T305" s="20" t="s">
        <v>346</v>
      </c>
      <c r="U305" s="20" t="s">
        <v>346</v>
      </c>
      <c r="V305" s="20" t="s">
        <v>722</v>
      </c>
      <c r="W305" s="59" t="s">
        <v>815</v>
      </c>
      <c r="X305" s="59" t="s">
        <v>751</v>
      </c>
      <c r="Y305" s="20" t="s">
        <v>717</v>
      </c>
      <c r="Z305" s="71">
        <v>0</v>
      </c>
      <c r="AA305" s="71">
        <v>6</v>
      </c>
      <c r="AB305" s="71">
        <v>48</v>
      </c>
      <c r="AC305" s="71">
        <v>6</v>
      </c>
      <c r="AD305" s="105">
        <f t="shared" si="17"/>
        <v>48</v>
      </c>
      <c r="AE305" s="118"/>
    </row>
    <row r="306" spans="2:31" s="57" customFormat="1" ht="40.5" x14ac:dyDescent="0.2">
      <c r="B306" s="12">
        <v>304</v>
      </c>
      <c r="C306" s="20">
        <v>2</v>
      </c>
      <c r="D306" s="20">
        <v>4400340</v>
      </c>
      <c r="E306" s="20" t="str">
        <f t="shared" si="16"/>
        <v>4400340</v>
      </c>
      <c r="F306" s="20" t="s">
        <v>417</v>
      </c>
      <c r="G306" s="59" t="s">
        <v>316</v>
      </c>
      <c r="H306" s="58" t="s">
        <v>712</v>
      </c>
      <c r="I306" s="78" t="s">
        <v>316</v>
      </c>
      <c r="J306" s="78" t="s">
        <v>1193</v>
      </c>
      <c r="K306" s="20">
        <v>8</v>
      </c>
      <c r="L306" s="20">
        <v>8</v>
      </c>
      <c r="M306" s="20" t="s">
        <v>1095</v>
      </c>
      <c r="N306" s="59" t="s">
        <v>720</v>
      </c>
      <c r="O306" s="20" t="s">
        <v>14</v>
      </c>
      <c r="P306" s="20"/>
      <c r="Q306" s="20" t="s">
        <v>132</v>
      </c>
      <c r="R306" s="20" t="s">
        <v>15</v>
      </c>
      <c r="S306" s="20"/>
      <c r="T306" s="20" t="s">
        <v>346</v>
      </c>
      <c r="U306" s="20" t="s">
        <v>346</v>
      </c>
      <c r="V306" s="20" t="s">
        <v>722</v>
      </c>
      <c r="W306" s="59" t="s">
        <v>815</v>
      </c>
      <c r="X306" s="59" t="s">
        <v>751</v>
      </c>
      <c r="Y306" s="20" t="s">
        <v>717</v>
      </c>
      <c r="Z306" s="71">
        <v>0</v>
      </c>
      <c r="AA306" s="71">
        <v>1100</v>
      </c>
      <c r="AB306" s="71">
        <v>8800</v>
      </c>
      <c r="AC306" s="71">
        <v>1100</v>
      </c>
      <c r="AD306" s="105">
        <f t="shared" si="17"/>
        <v>8800</v>
      </c>
      <c r="AE306" s="118"/>
    </row>
    <row r="307" spans="2:31" s="57" customFormat="1" ht="27" x14ac:dyDescent="0.2">
      <c r="B307" s="12">
        <v>305</v>
      </c>
      <c r="C307" s="20">
        <v>2</v>
      </c>
      <c r="D307" s="20">
        <v>4400935</v>
      </c>
      <c r="E307" s="20" t="str">
        <f t="shared" si="16"/>
        <v>4400935</v>
      </c>
      <c r="F307" s="20" t="s">
        <v>489</v>
      </c>
      <c r="G307" s="59" t="s">
        <v>318</v>
      </c>
      <c r="H307" s="58" t="s">
        <v>712</v>
      </c>
      <c r="I307" s="78" t="s">
        <v>318</v>
      </c>
      <c r="J307" s="78" t="s">
        <v>397</v>
      </c>
      <c r="K307" s="20">
        <v>6</v>
      </c>
      <c r="L307" s="20">
        <v>6</v>
      </c>
      <c r="M307" s="20" t="s">
        <v>1095</v>
      </c>
      <c r="N307" s="59" t="s">
        <v>720</v>
      </c>
      <c r="O307" s="20" t="s">
        <v>14</v>
      </c>
      <c r="P307" s="20"/>
      <c r="Q307" s="20" t="s">
        <v>200</v>
      </c>
      <c r="R307" s="20" t="s">
        <v>15</v>
      </c>
      <c r="S307" s="20"/>
      <c r="T307" s="20" t="s">
        <v>346</v>
      </c>
      <c r="U307" s="20" t="s">
        <v>346</v>
      </c>
      <c r="V307" s="20" t="s">
        <v>722</v>
      </c>
      <c r="W307" s="59" t="s">
        <v>815</v>
      </c>
      <c r="X307" s="59" t="s">
        <v>751</v>
      </c>
      <c r="Y307" s="20" t="s">
        <v>717</v>
      </c>
      <c r="Z307" s="71">
        <v>0</v>
      </c>
      <c r="AA307" s="71">
        <v>264</v>
      </c>
      <c r="AB307" s="71">
        <v>1584</v>
      </c>
      <c r="AC307" s="71">
        <v>264</v>
      </c>
      <c r="AD307" s="105">
        <f t="shared" si="17"/>
        <v>1584</v>
      </c>
      <c r="AE307" s="118"/>
    </row>
    <row r="308" spans="2:31" s="57" customFormat="1" ht="40.5" x14ac:dyDescent="0.2">
      <c r="B308" s="12">
        <v>306</v>
      </c>
      <c r="C308" s="20">
        <v>2</v>
      </c>
      <c r="D308" s="20">
        <v>4401050</v>
      </c>
      <c r="E308" s="20" t="str">
        <f t="shared" si="16"/>
        <v>4401050</v>
      </c>
      <c r="F308" s="20" t="s">
        <v>490</v>
      </c>
      <c r="G308" s="59" t="s">
        <v>320</v>
      </c>
      <c r="H308" s="58" t="s">
        <v>712</v>
      </c>
      <c r="I308" s="78" t="s">
        <v>320</v>
      </c>
      <c r="J308" s="78" t="s">
        <v>1193</v>
      </c>
      <c r="K308" s="20">
        <v>2</v>
      </c>
      <c r="L308" s="20">
        <v>2</v>
      </c>
      <c r="M308" s="20" t="s">
        <v>1095</v>
      </c>
      <c r="N308" s="59" t="s">
        <v>720</v>
      </c>
      <c r="O308" s="20" t="s">
        <v>14</v>
      </c>
      <c r="P308" s="20"/>
      <c r="Q308" s="20" t="s">
        <v>18</v>
      </c>
      <c r="R308" s="20" t="s">
        <v>15</v>
      </c>
      <c r="S308" s="20"/>
      <c r="T308" s="20" t="s">
        <v>346</v>
      </c>
      <c r="U308" s="20" t="s">
        <v>346</v>
      </c>
      <c r="V308" s="20" t="s">
        <v>722</v>
      </c>
      <c r="W308" s="59" t="s">
        <v>815</v>
      </c>
      <c r="X308" s="59" t="s">
        <v>751</v>
      </c>
      <c r="Y308" s="20" t="s">
        <v>717</v>
      </c>
      <c r="Z308" s="71">
        <v>0</v>
      </c>
      <c r="AA308" s="71">
        <v>156</v>
      </c>
      <c r="AB308" s="71">
        <v>312</v>
      </c>
      <c r="AC308" s="71">
        <v>156</v>
      </c>
      <c r="AD308" s="105">
        <f t="shared" si="17"/>
        <v>312</v>
      </c>
      <c r="AE308" s="118"/>
    </row>
    <row r="309" spans="2:31" s="57" customFormat="1" ht="40.5" x14ac:dyDescent="0.2">
      <c r="B309" s="12">
        <v>307</v>
      </c>
      <c r="C309" s="20">
        <v>2</v>
      </c>
      <c r="D309" s="20" t="s">
        <v>349</v>
      </c>
      <c r="E309" s="20" t="str">
        <f t="shared" si="16"/>
        <v>44S0019</v>
      </c>
      <c r="F309" s="20" t="s">
        <v>483</v>
      </c>
      <c r="G309" s="59" t="s">
        <v>322</v>
      </c>
      <c r="H309" s="58" t="s">
        <v>712</v>
      </c>
      <c r="I309" s="78" t="s">
        <v>322</v>
      </c>
      <c r="J309" s="78" t="s">
        <v>1193</v>
      </c>
      <c r="K309" s="20">
        <v>4</v>
      </c>
      <c r="L309" s="20">
        <v>4</v>
      </c>
      <c r="M309" s="20" t="s">
        <v>1095</v>
      </c>
      <c r="N309" s="59" t="s">
        <v>720</v>
      </c>
      <c r="O309" s="20" t="s">
        <v>14</v>
      </c>
      <c r="P309" s="20"/>
      <c r="Q309" s="20" t="s">
        <v>55</v>
      </c>
      <c r="R309" s="20" t="s">
        <v>15</v>
      </c>
      <c r="S309" s="20"/>
      <c r="T309" s="20" t="s">
        <v>346</v>
      </c>
      <c r="U309" s="20" t="s">
        <v>346</v>
      </c>
      <c r="V309" s="20" t="s">
        <v>722</v>
      </c>
      <c r="W309" s="59" t="s">
        <v>815</v>
      </c>
      <c r="X309" s="59" t="s">
        <v>751</v>
      </c>
      <c r="Y309" s="20" t="s">
        <v>717</v>
      </c>
      <c r="Z309" s="71">
        <v>0</v>
      </c>
      <c r="AA309" s="71">
        <v>6</v>
      </c>
      <c r="AB309" s="71">
        <v>24</v>
      </c>
      <c r="AC309" s="71">
        <v>6</v>
      </c>
      <c r="AD309" s="105">
        <f t="shared" si="17"/>
        <v>24</v>
      </c>
      <c r="AE309" s="118"/>
    </row>
    <row r="310" spans="2:31" s="57" customFormat="1" ht="27" x14ac:dyDescent="0.2">
      <c r="B310" s="12">
        <v>308</v>
      </c>
      <c r="C310" s="20">
        <v>2</v>
      </c>
      <c r="D310" s="20">
        <v>4500056</v>
      </c>
      <c r="E310" s="20" t="str">
        <f t="shared" si="16"/>
        <v>4500056</v>
      </c>
      <c r="F310" s="20" t="s">
        <v>456</v>
      </c>
      <c r="G310" s="59" t="s">
        <v>323</v>
      </c>
      <c r="H310" s="58" t="s">
        <v>712</v>
      </c>
      <c r="I310" s="78" t="s">
        <v>323</v>
      </c>
      <c r="J310" s="78" t="s">
        <v>1193</v>
      </c>
      <c r="K310" s="20">
        <v>6</v>
      </c>
      <c r="L310" s="20">
        <v>6</v>
      </c>
      <c r="M310" s="20" t="s">
        <v>1095</v>
      </c>
      <c r="N310" s="59" t="s">
        <v>720</v>
      </c>
      <c r="O310" s="20" t="s">
        <v>14</v>
      </c>
      <c r="P310" s="20"/>
      <c r="Q310" s="20" t="s">
        <v>200</v>
      </c>
      <c r="R310" s="20" t="s">
        <v>15</v>
      </c>
      <c r="S310" s="20"/>
      <c r="T310" s="20" t="s">
        <v>346</v>
      </c>
      <c r="U310" s="20" t="s">
        <v>346</v>
      </c>
      <c r="V310" s="20" t="s">
        <v>722</v>
      </c>
      <c r="W310" s="59" t="s">
        <v>815</v>
      </c>
      <c r="X310" s="59" t="s">
        <v>751</v>
      </c>
      <c r="Y310" s="20" t="s">
        <v>717</v>
      </c>
      <c r="Z310" s="71">
        <v>0</v>
      </c>
      <c r="AA310" s="71">
        <v>204</v>
      </c>
      <c r="AB310" s="71">
        <v>1224</v>
      </c>
      <c r="AC310" s="71">
        <v>204</v>
      </c>
      <c r="AD310" s="105">
        <f t="shared" si="17"/>
        <v>1224</v>
      </c>
      <c r="AE310" s="118"/>
    </row>
    <row r="311" spans="2:31" s="57" customFormat="1" ht="27" x14ac:dyDescent="0.2">
      <c r="B311" s="12">
        <v>309</v>
      </c>
      <c r="C311" s="20">
        <v>2</v>
      </c>
      <c r="D311" s="20">
        <v>4500089</v>
      </c>
      <c r="E311" s="20" t="str">
        <f t="shared" si="16"/>
        <v>4500089</v>
      </c>
      <c r="F311" s="20" t="s">
        <v>444</v>
      </c>
      <c r="G311" s="59" t="s">
        <v>324</v>
      </c>
      <c r="H311" s="58" t="s">
        <v>712</v>
      </c>
      <c r="I311" s="78" t="s">
        <v>324</v>
      </c>
      <c r="J311" s="78" t="s">
        <v>1193</v>
      </c>
      <c r="K311" s="20">
        <v>2</v>
      </c>
      <c r="L311" s="20">
        <v>2</v>
      </c>
      <c r="M311" s="20" t="s">
        <v>1095</v>
      </c>
      <c r="N311" s="59" t="s">
        <v>720</v>
      </c>
      <c r="O311" s="20" t="s">
        <v>14</v>
      </c>
      <c r="P311" s="20"/>
      <c r="Q311" s="20" t="s">
        <v>18</v>
      </c>
      <c r="R311" s="20" t="s">
        <v>15</v>
      </c>
      <c r="S311" s="20"/>
      <c r="T311" s="20" t="s">
        <v>346</v>
      </c>
      <c r="U311" s="20" t="s">
        <v>346</v>
      </c>
      <c r="V311" s="20" t="s">
        <v>722</v>
      </c>
      <c r="W311" s="59" t="s">
        <v>815</v>
      </c>
      <c r="X311" s="59" t="s">
        <v>751</v>
      </c>
      <c r="Y311" s="20" t="s">
        <v>717</v>
      </c>
      <c r="Z311" s="71">
        <v>0</v>
      </c>
      <c r="AA311" s="71">
        <v>347</v>
      </c>
      <c r="AB311" s="71">
        <v>694</v>
      </c>
      <c r="AC311" s="71">
        <v>347</v>
      </c>
      <c r="AD311" s="105">
        <f t="shared" si="17"/>
        <v>694</v>
      </c>
      <c r="AE311" s="118"/>
    </row>
    <row r="312" spans="2:31" s="57" customFormat="1" ht="27" x14ac:dyDescent="0.2">
      <c r="B312" s="12">
        <v>310</v>
      </c>
      <c r="C312" s="20">
        <v>2</v>
      </c>
      <c r="D312" s="20">
        <v>4600075</v>
      </c>
      <c r="E312" s="20" t="str">
        <f t="shared" si="16"/>
        <v>4600075</v>
      </c>
      <c r="F312" s="20" t="s">
        <v>491</v>
      </c>
      <c r="G312" s="59" t="s">
        <v>326</v>
      </c>
      <c r="H312" s="58" t="s">
        <v>712</v>
      </c>
      <c r="I312" s="78" t="s">
        <v>326</v>
      </c>
      <c r="J312" s="78" t="s">
        <v>1193</v>
      </c>
      <c r="K312" s="20">
        <v>4</v>
      </c>
      <c r="L312" s="20">
        <v>4</v>
      </c>
      <c r="M312" s="20" t="s">
        <v>1095</v>
      </c>
      <c r="N312" s="59" t="s">
        <v>720</v>
      </c>
      <c r="O312" s="20" t="s">
        <v>14</v>
      </c>
      <c r="P312" s="20"/>
      <c r="Q312" s="20" t="s">
        <v>55</v>
      </c>
      <c r="R312" s="20" t="s">
        <v>15</v>
      </c>
      <c r="S312" s="20"/>
      <c r="T312" s="20" t="s">
        <v>346</v>
      </c>
      <c r="U312" s="20" t="s">
        <v>346</v>
      </c>
      <c r="V312" s="20" t="s">
        <v>722</v>
      </c>
      <c r="W312" s="59" t="s">
        <v>815</v>
      </c>
      <c r="X312" s="59" t="s">
        <v>751</v>
      </c>
      <c r="Y312" s="20" t="s">
        <v>717</v>
      </c>
      <c r="Z312" s="71">
        <v>0</v>
      </c>
      <c r="AA312" s="71">
        <v>4</v>
      </c>
      <c r="AB312" s="71">
        <v>16</v>
      </c>
      <c r="AC312" s="71">
        <v>4</v>
      </c>
      <c r="AD312" s="105">
        <f t="shared" si="17"/>
        <v>16</v>
      </c>
      <c r="AE312" s="118"/>
    </row>
    <row r="313" spans="2:31" s="57" customFormat="1" ht="40.5" x14ac:dyDescent="0.2">
      <c r="B313" s="12">
        <v>311</v>
      </c>
      <c r="C313" s="20">
        <v>2</v>
      </c>
      <c r="D313" s="20">
        <v>5000471</v>
      </c>
      <c r="E313" s="20" t="str">
        <f t="shared" si="16"/>
        <v>5000471</v>
      </c>
      <c r="F313" s="20" t="s">
        <v>453</v>
      </c>
      <c r="G313" s="59" t="s">
        <v>181</v>
      </c>
      <c r="H313" s="58" t="s">
        <v>774</v>
      </c>
      <c r="I313" s="78" t="s">
        <v>887</v>
      </c>
      <c r="J313" s="78" t="s">
        <v>1193</v>
      </c>
      <c r="K313" s="20">
        <v>9</v>
      </c>
      <c r="L313" s="20">
        <v>9</v>
      </c>
      <c r="M313" s="20" t="s">
        <v>1095</v>
      </c>
      <c r="N313" s="59" t="s">
        <v>720</v>
      </c>
      <c r="O313" s="20" t="s">
        <v>14</v>
      </c>
      <c r="P313" s="20"/>
      <c r="Q313" s="20" t="s">
        <v>327</v>
      </c>
      <c r="R313" s="20" t="s">
        <v>15</v>
      </c>
      <c r="S313" s="20"/>
      <c r="T313" s="20" t="s">
        <v>346</v>
      </c>
      <c r="U313" s="20" t="s">
        <v>346</v>
      </c>
      <c r="V313" s="20" t="s">
        <v>1245</v>
      </c>
      <c r="W313" s="59" t="s">
        <v>811</v>
      </c>
      <c r="X313" s="59" t="s">
        <v>712</v>
      </c>
      <c r="Y313" s="20" t="s">
        <v>717</v>
      </c>
      <c r="Z313" s="71">
        <v>0</v>
      </c>
      <c r="AA313" s="71">
        <v>0</v>
      </c>
      <c r="AB313" s="71">
        <v>0</v>
      </c>
      <c r="AC313" s="71">
        <v>0</v>
      </c>
      <c r="AD313" s="105">
        <v>0</v>
      </c>
      <c r="AE313" s="118"/>
    </row>
    <row r="314" spans="2:31" s="57" customFormat="1" ht="40.5" x14ac:dyDescent="0.2">
      <c r="B314" s="12">
        <v>312</v>
      </c>
      <c r="C314" s="20">
        <v>2</v>
      </c>
      <c r="D314" s="20">
        <v>5000473</v>
      </c>
      <c r="E314" s="20" t="str">
        <f t="shared" si="16"/>
        <v>5000473</v>
      </c>
      <c r="F314" s="20" t="s">
        <v>492</v>
      </c>
      <c r="G314" s="59" t="s">
        <v>329</v>
      </c>
      <c r="H314" s="58" t="s">
        <v>774</v>
      </c>
      <c r="I314" s="78" t="s">
        <v>888</v>
      </c>
      <c r="J314" s="78" t="s">
        <v>1193</v>
      </c>
      <c r="K314" s="20">
        <v>6</v>
      </c>
      <c r="L314" s="20">
        <v>6</v>
      </c>
      <c r="M314" s="20" t="s">
        <v>1095</v>
      </c>
      <c r="N314" s="59" t="s">
        <v>720</v>
      </c>
      <c r="O314" s="20" t="s">
        <v>14</v>
      </c>
      <c r="P314" s="20"/>
      <c r="Q314" s="20" t="s">
        <v>200</v>
      </c>
      <c r="R314" s="20" t="s">
        <v>15</v>
      </c>
      <c r="S314" s="20"/>
      <c r="T314" s="20" t="s">
        <v>346</v>
      </c>
      <c r="U314" s="20" t="s">
        <v>346</v>
      </c>
      <c r="V314" s="20" t="s">
        <v>1243</v>
      </c>
      <c r="W314" s="59" t="s">
        <v>811</v>
      </c>
      <c r="X314" s="59" t="s">
        <v>894</v>
      </c>
      <c r="Y314" s="20" t="s">
        <v>717</v>
      </c>
      <c r="Z314" s="71">
        <v>0</v>
      </c>
      <c r="AA314" s="71">
        <v>52</v>
      </c>
      <c r="AB314" s="71">
        <v>312</v>
      </c>
      <c r="AC314" s="71">
        <v>52</v>
      </c>
      <c r="AD314" s="105">
        <f>$AC314*$K314</f>
        <v>312</v>
      </c>
      <c r="AE314" s="118"/>
    </row>
    <row r="315" spans="2:31" s="57" customFormat="1" x14ac:dyDescent="0.2">
      <c r="B315" s="12">
        <v>313</v>
      </c>
      <c r="C315" s="20">
        <v>2</v>
      </c>
      <c r="D315" s="20">
        <v>5000604</v>
      </c>
      <c r="E315" s="20" t="str">
        <f t="shared" si="16"/>
        <v>5000604</v>
      </c>
      <c r="F315" s="20" t="s">
        <v>410</v>
      </c>
      <c r="G315" s="59" t="s">
        <v>351</v>
      </c>
      <c r="H315" s="58" t="s">
        <v>774</v>
      </c>
      <c r="I315" s="78" t="s">
        <v>1182</v>
      </c>
      <c r="J315" s="78" t="s">
        <v>1193</v>
      </c>
      <c r="K315" s="20">
        <v>15</v>
      </c>
      <c r="L315" s="20">
        <v>15</v>
      </c>
      <c r="M315" s="20" t="s">
        <v>1095</v>
      </c>
      <c r="N315" s="59" t="s">
        <v>720</v>
      </c>
      <c r="O315" s="20" t="s">
        <v>14</v>
      </c>
      <c r="P315" s="20"/>
      <c r="Q315" s="20" t="s">
        <v>330</v>
      </c>
      <c r="R315" s="20" t="s">
        <v>15</v>
      </c>
      <c r="S315" s="20"/>
      <c r="T315" s="20" t="s">
        <v>346</v>
      </c>
      <c r="U315" s="20" t="s">
        <v>346</v>
      </c>
      <c r="V315" s="20" t="s">
        <v>721</v>
      </c>
      <c r="W315" s="58" t="s">
        <v>1168</v>
      </c>
      <c r="X315" s="59" t="s">
        <v>751</v>
      </c>
      <c r="Y315" s="20" t="s">
        <v>717</v>
      </c>
      <c r="Z315" s="71">
        <v>0</v>
      </c>
      <c r="AA315" s="71">
        <v>55</v>
      </c>
      <c r="AB315" s="71">
        <v>825</v>
      </c>
      <c r="AC315" s="71">
        <v>55</v>
      </c>
      <c r="AD315" s="105">
        <f>$AC315*$K315</f>
        <v>825</v>
      </c>
      <c r="AE315" s="118"/>
    </row>
    <row r="316" spans="2:31" s="57" customFormat="1" x14ac:dyDescent="0.2">
      <c r="B316" s="12">
        <v>314</v>
      </c>
      <c r="C316" s="20">
        <v>2</v>
      </c>
      <c r="D316" s="20">
        <v>7500021</v>
      </c>
      <c r="E316" s="20" t="str">
        <f t="shared" si="16"/>
        <v>7500021</v>
      </c>
      <c r="F316" s="20" t="s">
        <v>472</v>
      </c>
      <c r="G316" s="59" t="s">
        <v>265</v>
      </c>
      <c r="H316" s="58" t="s">
        <v>1227</v>
      </c>
      <c r="I316" s="78" t="s">
        <v>1176</v>
      </c>
      <c r="J316" s="78" t="s">
        <v>1193</v>
      </c>
      <c r="K316" s="20">
        <v>36</v>
      </c>
      <c r="L316" s="20">
        <v>36</v>
      </c>
      <c r="M316" s="20" t="s">
        <v>1095</v>
      </c>
      <c r="N316" s="59" t="s">
        <v>720</v>
      </c>
      <c r="O316" s="20" t="s">
        <v>14</v>
      </c>
      <c r="P316" s="20"/>
      <c r="Q316" s="20" t="s">
        <v>331</v>
      </c>
      <c r="R316" s="20" t="s">
        <v>15</v>
      </c>
      <c r="S316" s="20"/>
      <c r="T316" s="20" t="s">
        <v>346</v>
      </c>
      <c r="U316" s="20" t="s">
        <v>346</v>
      </c>
      <c r="V316" s="20" t="s">
        <v>836</v>
      </c>
      <c r="W316" s="59" t="s">
        <v>838</v>
      </c>
      <c r="X316" s="59" t="s">
        <v>895</v>
      </c>
      <c r="Y316" s="20" t="s">
        <v>717</v>
      </c>
      <c r="Z316" s="71">
        <v>0</v>
      </c>
      <c r="AA316" s="71">
        <v>265</v>
      </c>
      <c r="AB316" s="71">
        <v>0</v>
      </c>
      <c r="AC316" s="71">
        <v>265</v>
      </c>
      <c r="AD316" s="105">
        <v>0</v>
      </c>
      <c r="AE316" s="118"/>
    </row>
    <row r="317" spans="2:31" s="57" customFormat="1" x14ac:dyDescent="0.2">
      <c r="B317" s="12">
        <v>315</v>
      </c>
      <c r="C317" s="20">
        <v>2</v>
      </c>
      <c r="D317" s="20">
        <v>7500100</v>
      </c>
      <c r="E317" s="20" t="str">
        <f t="shared" si="16"/>
        <v>7500100</v>
      </c>
      <c r="F317" s="20" t="s">
        <v>493</v>
      </c>
      <c r="G317" s="59" t="s">
        <v>333</v>
      </c>
      <c r="H317" s="58" t="s">
        <v>867</v>
      </c>
      <c r="I317" s="78" t="s">
        <v>1200</v>
      </c>
      <c r="J317" s="78" t="s">
        <v>1193</v>
      </c>
      <c r="K317" s="20">
        <v>65</v>
      </c>
      <c r="L317" s="20">
        <v>65</v>
      </c>
      <c r="M317" s="20" t="s">
        <v>1095</v>
      </c>
      <c r="N317" s="59" t="s">
        <v>718</v>
      </c>
      <c r="O317" s="20" t="s">
        <v>14</v>
      </c>
      <c r="P317" s="20"/>
      <c r="Q317" s="20" t="s">
        <v>334</v>
      </c>
      <c r="R317" s="20" t="s">
        <v>15</v>
      </c>
      <c r="S317" s="20"/>
      <c r="T317" s="20" t="s">
        <v>346</v>
      </c>
      <c r="U317" s="20" t="s">
        <v>346</v>
      </c>
      <c r="V317" s="20" t="s">
        <v>1243</v>
      </c>
      <c r="W317" s="59" t="s">
        <v>811</v>
      </c>
      <c r="X317" s="59" t="s">
        <v>751</v>
      </c>
      <c r="Y317" s="20" t="s">
        <v>717</v>
      </c>
      <c r="Z317" s="71">
        <v>638</v>
      </c>
      <c r="AA317" s="71">
        <v>1520</v>
      </c>
      <c r="AB317" s="71">
        <v>98800</v>
      </c>
      <c r="AC317" s="71">
        <v>1520</v>
      </c>
      <c r="AD317" s="105">
        <f>$AC317*$K317</f>
        <v>98800</v>
      </c>
      <c r="AE317" s="118"/>
    </row>
    <row r="318" spans="2:31" s="57" customFormat="1" x14ac:dyDescent="0.2">
      <c r="B318" s="12">
        <v>316</v>
      </c>
      <c r="C318" s="20">
        <v>2</v>
      </c>
      <c r="D318" s="20">
        <v>7500158</v>
      </c>
      <c r="E318" s="20" t="str">
        <f t="shared" si="16"/>
        <v>7500158</v>
      </c>
      <c r="F318" s="20" t="s">
        <v>494</v>
      </c>
      <c r="G318" s="59" t="s">
        <v>336</v>
      </c>
      <c r="H318" s="58" t="s">
        <v>1227</v>
      </c>
      <c r="I318" s="78" t="s">
        <v>1199</v>
      </c>
      <c r="J318" s="78" t="s">
        <v>1193</v>
      </c>
      <c r="K318" s="20">
        <v>80</v>
      </c>
      <c r="L318" s="20">
        <v>80</v>
      </c>
      <c r="M318" s="20" t="s">
        <v>1095</v>
      </c>
      <c r="N318" s="59" t="s">
        <v>718</v>
      </c>
      <c r="O318" s="20" t="s">
        <v>14</v>
      </c>
      <c r="P318" s="20"/>
      <c r="Q318" s="20" t="s">
        <v>337</v>
      </c>
      <c r="R318" s="20" t="s">
        <v>15</v>
      </c>
      <c r="S318" s="20"/>
      <c r="T318" s="20" t="s">
        <v>346</v>
      </c>
      <c r="U318" s="20" t="s">
        <v>346</v>
      </c>
      <c r="V318" s="20" t="s">
        <v>836</v>
      </c>
      <c r="W318" s="59" t="s">
        <v>838</v>
      </c>
      <c r="X318" s="59" t="s">
        <v>751</v>
      </c>
      <c r="Y318" s="20" t="s">
        <v>717</v>
      </c>
      <c r="Z318" s="71">
        <v>0</v>
      </c>
      <c r="AA318" s="71">
        <v>1585</v>
      </c>
      <c r="AB318" s="71">
        <v>126800</v>
      </c>
      <c r="AC318" s="71">
        <v>1585</v>
      </c>
      <c r="AD318" s="105">
        <f>$AC318*$K318</f>
        <v>126800</v>
      </c>
      <c r="AE318" s="118"/>
    </row>
    <row r="319" spans="2:31" s="57" customFormat="1" x14ac:dyDescent="0.2">
      <c r="B319" s="12">
        <v>317</v>
      </c>
      <c r="C319" s="20">
        <v>2</v>
      </c>
      <c r="D319" s="20">
        <v>7500207</v>
      </c>
      <c r="E319" s="20" t="str">
        <f t="shared" si="16"/>
        <v>7500207</v>
      </c>
      <c r="F319" s="20" t="s">
        <v>490</v>
      </c>
      <c r="G319" s="59" t="s">
        <v>386</v>
      </c>
      <c r="H319" s="58" t="s">
        <v>850</v>
      </c>
      <c r="I319" s="78" t="s">
        <v>1198</v>
      </c>
      <c r="J319" s="78" t="s">
        <v>1193</v>
      </c>
      <c r="K319" s="20">
        <v>20</v>
      </c>
      <c r="L319" s="20">
        <v>20</v>
      </c>
      <c r="M319" s="20" t="s">
        <v>1095</v>
      </c>
      <c r="N319" s="59" t="s">
        <v>719</v>
      </c>
      <c r="O319" s="20" t="s">
        <v>14</v>
      </c>
      <c r="P319" s="20"/>
      <c r="Q319" s="20" t="s">
        <v>338</v>
      </c>
      <c r="R319" s="20" t="s">
        <v>15</v>
      </c>
      <c r="S319" s="20"/>
      <c r="T319" s="20" t="s">
        <v>346</v>
      </c>
      <c r="U319" s="20" t="s">
        <v>346</v>
      </c>
      <c r="V319" s="20" t="s">
        <v>721</v>
      </c>
      <c r="W319" s="59" t="s">
        <v>811</v>
      </c>
      <c r="X319" s="59" t="s">
        <v>712</v>
      </c>
      <c r="Y319" s="20" t="s">
        <v>717</v>
      </c>
      <c r="Z319" s="71">
        <v>0</v>
      </c>
      <c r="AA319" s="71">
        <v>0.39</v>
      </c>
      <c r="AB319" s="71">
        <v>11310.000000000002</v>
      </c>
      <c r="AC319" s="71">
        <v>4678</v>
      </c>
      <c r="AD319" s="105">
        <f>$AC319*$K319</f>
        <v>93560</v>
      </c>
      <c r="AE319" s="118"/>
    </row>
    <row r="320" spans="2:31" s="57" customFormat="1" ht="27" x14ac:dyDescent="0.2">
      <c r="B320" s="12">
        <v>318</v>
      </c>
      <c r="C320" s="20">
        <v>2</v>
      </c>
      <c r="D320" s="20" t="s">
        <v>350</v>
      </c>
      <c r="E320" s="20" t="str">
        <f t="shared" si="16"/>
        <v>7641-0001-0306</v>
      </c>
      <c r="F320" s="20" t="s">
        <v>482</v>
      </c>
      <c r="G320" s="59" t="s">
        <v>339</v>
      </c>
      <c r="H320" s="58" t="s">
        <v>1227</v>
      </c>
      <c r="I320" s="78" t="s">
        <v>1197</v>
      </c>
      <c r="J320" s="78" t="s">
        <v>1193</v>
      </c>
      <c r="K320" s="20">
        <v>36</v>
      </c>
      <c r="L320" s="20">
        <v>36</v>
      </c>
      <c r="M320" s="20" t="s">
        <v>1095</v>
      </c>
      <c r="N320" s="59" t="s">
        <v>712</v>
      </c>
      <c r="O320" s="20" t="s">
        <v>14</v>
      </c>
      <c r="P320" s="20"/>
      <c r="Q320" s="20" t="s">
        <v>331</v>
      </c>
      <c r="R320" s="20" t="s">
        <v>15</v>
      </c>
      <c r="S320" s="20"/>
      <c r="T320" s="20" t="s">
        <v>346</v>
      </c>
      <c r="U320" s="20" t="s">
        <v>346</v>
      </c>
      <c r="V320" s="20" t="s">
        <v>836</v>
      </c>
      <c r="W320" s="59" t="s">
        <v>838</v>
      </c>
      <c r="X320" s="59" t="s">
        <v>751</v>
      </c>
      <c r="Y320" s="20" t="s">
        <v>717</v>
      </c>
      <c r="Z320" s="71">
        <v>0</v>
      </c>
      <c r="AA320" s="71">
        <v>265</v>
      </c>
      <c r="AB320" s="71">
        <v>9540</v>
      </c>
      <c r="AC320" s="71">
        <v>265</v>
      </c>
      <c r="AD320" s="105">
        <f>$AC320*$K320</f>
        <v>9540</v>
      </c>
      <c r="AE320" s="118"/>
    </row>
    <row r="321" spans="1:36" s="57" customFormat="1" ht="40.5" x14ac:dyDescent="0.2">
      <c r="B321" s="12">
        <v>319</v>
      </c>
      <c r="C321" s="20">
        <v>2</v>
      </c>
      <c r="D321" s="20">
        <v>900000755</v>
      </c>
      <c r="E321" s="20" t="str">
        <f t="shared" si="16"/>
        <v>900000755</v>
      </c>
      <c r="F321" s="20" t="s">
        <v>469</v>
      </c>
      <c r="G321" s="59" t="s">
        <v>254</v>
      </c>
      <c r="H321" s="58" t="s">
        <v>774</v>
      </c>
      <c r="I321" s="78" t="s">
        <v>742</v>
      </c>
      <c r="J321" s="78" t="s">
        <v>1193</v>
      </c>
      <c r="K321" s="20">
        <v>0</v>
      </c>
      <c r="L321" s="20">
        <v>0</v>
      </c>
      <c r="M321" s="20" t="s">
        <v>1080</v>
      </c>
      <c r="N321" s="59" t="s">
        <v>720</v>
      </c>
      <c r="O321" s="20" t="s">
        <v>14</v>
      </c>
      <c r="P321" s="20"/>
      <c r="Q321" s="20" t="s">
        <v>25</v>
      </c>
      <c r="R321" s="20" t="s">
        <v>15</v>
      </c>
      <c r="S321" s="20"/>
      <c r="T321" s="20" t="s">
        <v>346</v>
      </c>
      <c r="U321" s="20" t="s">
        <v>346</v>
      </c>
      <c r="V321" s="20" t="s">
        <v>722</v>
      </c>
      <c r="W321" s="59" t="s">
        <v>727</v>
      </c>
      <c r="X321" s="59" t="s">
        <v>846</v>
      </c>
      <c r="Y321" s="20" t="s">
        <v>717</v>
      </c>
      <c r="Z321" s="71">
        <v>0</v>
      </c>
      <c r="AA321" s="71">
        <v>580</v>
      </c>
      <c r="AB321" s="71">
        <v>0</v>
      </c>
      <c r="AC321" s="71">
        <v>580</v>
      </c>
      <c r="AD321" s="105">
        <v>0</v>
      </c>
      <c r="AE321" s="118"/>
    </row>
    <row r="322" spans="1:36" s="57" customFormat="1" ht="27" x14ac:dyDescent="0.2">
      <c r="B322" s="12">
        <v>320</v>
      </c>
      <c r="C322" s="20">
        <v>2</v>
      </c>
      <c r="D322" s="20">
        <v>900001200</v>
      </c>
      <c r="E322" s="20" t="str">
        <f t="shared" si="16"/>
        <v>900001200</v>
      </c>
      <c r="F322" s="20" t="s">
        <v>442</v>
      </c>
      <c r="G322" s="59" t="s">
        <v>340</v>
      </c>
      <c r="H322" s="58" t="s">
        <v>1222</v>
      </c>
      <c r="I322" s="78" t="s">
        <v>1221</v>
      </c>
      <c r="J322" s="78" t="s">
        <v>1193</v>
      </c>
      <c r="K322" s="20">
        <v>1</v>
      </c>
      <c r="L322" s="20">
        <v>1</v>
      </c>
      <c r="M322" s="20" t="s">
        <v>1095</v>
      </c>
      <c r="N322" s="59" t="s">
        <v>712</v>
      </c>
      <c r="O322" s="20" t="s">
        <v>14</v>
      </c>
      <c r="P322" s="20"/>
      <c r="Q322" s="20" t="s">
        <v>21</v>
      </c>
      <c r="R322" s="20" t="s">
        <v>38</v>
      </c>
      <c r="S322" s="20"/>
      <c r="T322" s="20" t="s">
        <v>393</v>
      </c>
      <c r="U322" s="20" t="s">
        <v>360</v>
      </c>
      <c r="V322" s="20" t="s">
        <v>726</v>
      </c>
      <c r="W322" s="59" t="s">
        <v>712</v>
      </c>
      <c r="X322" s="59" t="s">
        <v>854</v>
      </c>
      <c r="Y322" s="20" t="s">
        <v>843</v>
      </c>
      <c r="Z322" s="71">
        <v>0</v>
      </c>
      <c r="AA322" s="71">
        <v>2.19</v>
      </c>
      <c r="AB322" s="71">
        <v>3175.5</v>
      </c>
      <c r="AC322" s="71">
        <v>2.19</v>
      </c>
      <c r="AD322" s="105">
        <f>($Y$1*$AC322)*$K322</f>
        <v>2969.64</v>
      </c>
      <c r="AE322" s="118"/>
    </row>
    <row r="323" spans="1:36" s="57" customFormat="1" ht="40.5" x14ac:dyDescent="0.2">
      <c r="B323" s="12">
        <v>321</v>
      </c>
      <c r="C323" s="20">
        <v>2</v>
      </c>
      <c r="D323" s="20">
        <v>900001259</v>
      </c>
      <c r="E323" s="20" t="str">
        <f t="shared" si="16"/>
        <v>900001259</v>
      </c>
      <c r="F323" s="20" t="s">
        <v>470</v>
      </c>
      <c r="G323" s="59" t="s">
        <v>256</v>
      </c>
      <c r="H323" s="58" t="s">
        <v>774</v>
      </c>
      <c r="I323" s="78" t="s">
        <v>743</v>
      </c>
      <c r="J323" s="78" t="s">
        <v>1193</v>
      </c>
      <c r="K323" s="20">
        <v>2</v>
      </c>
      <c r="L323" s="20">
        <v>2</v>
      </c>
      <c r="M323" s="20" t="s">
        <v>1095</v>
      </c>
      <c r="N323" s="59" t="s">
        <v>720</v>
      </c>
      <c r="O323" s="20" t="s">
        <v>14</v>
      </c>
      <c r="P323" s="20"/>
      <c r="Q323" s="20" t="s">
        <v>18</v>
      </c>
      <c r="R323" s="20" t="s">
        <v>15</v>
      </c>
      <c r="S323" s="20"/>
      <c r="T323" s="20" t="s">
        <v>346</v>
      </c>
      <c r="U323" s="20" t="s">
        <v>346</v>
      </c>
      <c r="V323" s="20" t="s">
        <v>722</v>
      </c>
      <c r="W323" s="59" t="s">
        <v>727</v>
      </c>
      <c r="X323" s="59" t="s">
        <v>846</v>
      </c>
      <c r="Y323" s="20" t="s">
        <v>717</v>
      </c>
      <c r="Z323" s="71">
        <v>0</v>
      </c>
      <c r="AA323" s="71">
        <v>560</v>
      </c>
      <c r="AB323" s="71">
        <v>5600</v>
      </c>
      <c r="AC323" s="71">
        <v>560</v>
      </c>
      <c r="AD323" s="105">
        <f>$AC323*$K323</f>
        <v>1120</v>
      </c>
      <c r="AE323" s="118"/>
    </row>
    <row r="324" spans="1:36" s="57" customFormat="1" x14ac:dyDescent="0.2">
      <c r="B324" s="12">
        <v>322</v>
      </c>
      <c r="C324" s="20">
        <v>2</v>
      </c>
      <c r="D324" s="20">
        <v>9004416</v>
      </c>
      <c r="E324" s="20" t="str">
        <f t="shared" si="16"/>
        <v>9004416</v>
      </c>
      <c r="F324" s="20" t="s">
        <v>437</v>
      </c>
      <c r="G324" s="59" t="s">
        <v>341</v>
      </c>
      <c r="H324" s="58" t="s">
        <v>863</v>
      </c>
      <c r="I324" s="78">
        <v>91424</v>
      </c>
      <c r="J324" s="78" t="s">
        <v>1193</v>
      </c>
      <c r="K324" s="20">
        <v>0</v>
      </c>
      <c r="L324" s="20">
        <v>0</v>
      </c>
      <c r="M324" s="20" t="s">
        <v>1080</v>
      </c>
      <c r="N324" s="59" t="s">
        <v>718</v>
      </c>
      <c r="O324" s="20" t="s">
        <v>14</v>
      </c>
      <c r="P324" s="20"/>
      <c r="Q324" s="20" t="s">
        <v>25</v>
      </c>
      <c r="R324" s="20" t="s">
        <v>15</v>
      </c>
      <c r="S324" s="20"/>
      <c r="T324" s="20" t="s">
        <v>346</v>
      </c>
      <c r="U324" s="20" t="s">
        <v>346</v>
      </c>
      <c r="V324" s="20" t="s">
        <v>836</v>
      </c>
      <c r="W324" s="59" t="s">
        <v>891</v>
      </c>
      <c r="X324" s="59" t="s">
        <v>751</v>
      </c>
      <c r="Y324" s="20" t="s">
        <v>717</v>
      </c>
      <c r="Z324" s="71">
        <v>0</v>
      </c>
      <c r="AA324" s="71">
        <v>43000</v>
      </c>
      <c r="AB324" s="71">
        <v>0</v>
      </c>
      <c r="AC324" s="71">
        <v>43000</v>
      </c>
      <c r="AD324" s="105">
        <v>0</v>
      </c>
      <c r="AE324" s="118"/>
    </row>
    <row r="325" spans="1:36" s="57" customFormat="1" x14ac:dyDescent="0.2">
      <c r="B325" s="12">
        <v>323</v>
      </c>
      <c r="C325" s="20">
        <v>2</v>
      </c>
      <c r="D325" s="20">
        <v>9004417</v>
      </c>
      <c r="E325" s="20" t="str">
        <f t="shared" si="16"/>
        <v>9004417</v>
      </c>
      <c r="F325" s="20" t="s">
        <v>457</v>
      </c>
      <c r="G325" s="59" t="s">
        <v>342</v>
      </c>
      <c r="H325" s="58" t="s">
        <v>863</v>
      </c>
      <c r="I325" s="78">
        <v>91425</v>
      </c>
      <c r="J325" s="78" t="s">
        <v>1193</v>
      </c>
      <c r="K325" s="20">
        <v>0</v>
      </c>
      <c r="L325" s="20">
        <v>0</v>
      </c>
      <c r="M325" s="20" t="s">
        <v>1080</v>
      </c>
      <c r="N325" s="59" t="s">
        <v>718</v>
      </c>
      <c r="O325" s="20" t="s">
        <v>14</v>
      </c>
      <c r="P325" s="20"/>
      <c r="Q325" s="20" t="s">
        <v>25</v>
      </c>
      <c r="R325" s="20" t="s">
        <v>15</v>
      </c>
      <c r="S325" s="20"/>
      <c r="T325" s="20" t="s">
        <v>346</v>
      </c>
      <c r="U325" s="20" t="s">
        <v>346</v>
      </c>
      <c r="V325" s="20" t="s">
        <v>836</v>
      </c>
      <c r="W325" s="59" t="s">
        <v>891</v>
      </c>
      <c r="X325" s="59" t="s">
        <v>751</v>
      </c>
      <c r="Y325" s="20" t="s">
        <v>717</v>
      </c>
      <c r="Z325" s="71">
        <v>0</v>
      </c>
      <c r="AA325" s="71">
        <v>43000</v>
      </c>
      <c r="AB325" s="71">
        <v>0</v>
      </c>
      <c r="AC325" s="71">
        <v>43000</v>
      </c>
      <c r="AD325" s="105">
        <v>0</v>
      </c>
      <c r="AE325" s="118"/>
    </row>
    <row r="326" spans="1:36" s="57" customFormat="1" x14ac:dyDescent="0.2">
      <c r="B326" s="12">
        <v>324</v>
      </c>
      <c r="C326" s="20">
        <v>2</v>
      </c>
      <c r="D326" s="20">
        <v>9200106</v>
      </c>
      <c r="E326" s="20" t="str">
        <f t="shared" si="16"/>
        <v>9200106</v>
      </c>
      <c r="F326" s="20" t="s">
        <v>434</v>
      </c>
      <c r="G326" s="59" t="s">
        <v>114</v>
      </c>
      <c r="H326" s="58" t="s">
        <v>728</v>
      </c>
      <c r="I326" s="78" t="s">
        <v>824</v>
      </c>
      <c r="J326" s="78" t="s">
        <v>1193</v>
      </c>
      <c r="K326" s="20">
        <v>0</v>
      </c>
      <c r="L326" s="20">
        <v>0</v>
      </c>
      <c r="M326" s="20" t="s">
        <v>1080</v>
      </c>
      <c r="N326" s="59" t="s">
        <v>719</v>
      </c>
      <c r="O326" s="20" t="s">
        <v>14</v>
      </c>
      <c r="P326" s="20"/>
      <c r="Q326" s="20" t="s">
        <v>25</v>
      </c>
      <c r="R326" s="20" t="s">
        <v>15</v>
      </c>
      <c r="S326" s="20"/>
      <c r="T326" s="20" t="s">
        <v>346</v>
      </c>
      <c r="U326" s="20" t="s">
        <v>346</v>
      </c>
      <c r="V326" s="20" t="s">
        <v>738</v>
      </c>
      <c r="W326" s="59" t="s">
        <v>735</v>
      </c>
      <c r="X326" s="59" t="s">
        <v>842</v>
      </c>
      <c r="Y326" s="20" t="s">
        <v>717</v>
      </c>
      <c r="Z326" s="71">
        <v>0</v>
      </c>
      <c r="AA326" s="71">
        <v>28800</v>
      </c>
      <c r="AB326" s="71">
        <v>0</v>
      </c>
      <c r="AC326" s="71">
        <v>28800</v>
      </c>
      <c r="AD326" s="110">
        <v>0</v>
      </c>
      <c r="AE326" s="118" t="s">
        <v>1262</v>
      </c>
    </row>
    <row r="327" spans="1:36" s="57" customFormat="1" x14ac:dyDescent="0.2">
      <c r="B327" s="12"/>
      <c r="C327" s="20"/>
      <c r="D327" s="20"/>
      <c r="E327" s="20"/>
      <c r="F327" s="20"/>
      <c r="G327" s="59"/>
      <c r="H327" s="59"/>
      <c r="I327" s="59"/>
      <c r="J327" s="59"/>
      <c r="K327" s="20"/>
      <c r="L327" s="20"/>
      <c r="M327" s="20"/>
      <c r="N327" s="59"/>
      <c r="O327" s="20"/>
      <c r="P327" s="20"/>
      <c r="Q327" s="20"/>
      <c r="R327" s="20"/>
      <c r="S327" s="20"/>
      <c r="T327" s="20"/>
      <c r="U327" s="20"/>
      <c r="V327" s="20" t="s">
        <v>836</v>
      </c>
      <c r="W327" s="59"/>
      <c r="X327" s="59"/>
      <c r="Y327" s="20"/>
      <c r="Z327" s="71"/>
      <c r="AA327" s="71">
        <v>615000</v>
      </c>
      <c r="AB327" s="71">
        <v>615000</v>
      </c>
      <c r="AC327" s="71">
        <v>615000</v>
      </c>
      <c r="AD327" s="105">
        <v>615000</v>
      </c>
      <c r="AE327" s="116"/>
    </row>
    <row r="329" spans="1:36" x14ac:dyDescent="0.25">
      <c r="T329" s="65"/>
    </row>
    <row r="330" spans="1:36" x14ac:dyDescent="0.25">
      <c r="T330" s="65"/>
    </row>
    <row r="331" spans="1:36" x14ac:dyDescent="0.25">
      <c r="B331" s="61"/>
      <c r="G331" s="104" t="s">
        <v>1055</v>
      </c>
      <c r="O331" s="90">
        <v>230</v>
      </c>
      <c r="P331" s="91"/>
      <c r="T331" s="67"/>
      <c r="U331" s="67"/>
    </row>
    <row r="332" spans="1:36" x14ac:dyDescent="0.25">
      <c r="G332" s="104" t="s">
        <v>1056</v>
      </c>
      <c r="O332" s="92">
        <v>0.08</v>
      </c>
      <c r="P332" s="91"/>
      <c r="S332" s="68"/>
    </row>
    <row r="333" spans="1:36" s="64" customFormat="1" x14ac:dyDescent="0.25">
      <c r="A333" s="62"/>
      <c r="B333" s="63"/>
      <c r="G333" s="104"/>
      <c r="H333" s="66"/>
      <c r="I333" s="80"/>
      <c r="J333" s="80"/>
      <c r="N333" s="62"/>
      <c r="O333" s="94"/>
      <c r="P333" s="95"/>
      <c r="X333" s="62"/>
      <c r="Z333" s="74"/>
      <c r="AA333" s="74"/>
      <c r="AB333" s="74"/>
      <c r="AC333" s="74"/>
      <c r="AD333" s="111"/>
      <c r="AE333" s="115"/>
      <c r="AF333" s="62"/>
      <c r="AG333" s="62"/>
      <c r="AH333" s="62"/>
      <c r="AI333" s="62"/>
      <c r="AJ333" s="62"/>
    </row>
    <row r="334" spans="1:36" s="64" customFormat="1" x14ac:dyDescent="0.25">
      <c r="A334" s="62"/>
      <c r="B334" s="63"/>
      <c r="G334" s="104" t="s">
        <v>1057</v>
      </c>
      <c r="H334" s="66"/>
      <c r="I334" s="80"/>
      <c r="J334" s="80"/>
      <c r="N334" s="62"/>
      <c r="O334" s="90">
        <v>168.25</v>
      </c>
      <c r="P334" s="95" t="s">
        <v>1058</v>
      </c>
      <c r="X334" s="62"/>
      <c r="Z334" s="74"/>
      <c r="AA334" s="74"/>
      <c r="AB334" s="74"/>
      <c r="AC334" s="74"/>
      <c r="AD334" s="111"/>
      <c r="AE334" s="115"/>
      <c r="AF334" s="62"/>
      <c r="AG334" s="62"/>
      <c r="AH334" s="62"/>
      <c r="AI334" s="62"/>
      <c r="AJ334" s="62"/>
    </row>
    <row r="335" spans="1:36" s="64" customFormat="1" x14ac:dyDescent="0.25">
      <c r="A335" s="62"/>
      <c r="B335" s="63"/>
      <c r="G335" s="104"/>
      <c r="H335" s="66"/>
      <c r="I335" s="80"/>
      <c r="J335" s="80"/>
      <c r="N335" s="62"/>
      <c r="O335" s="96">
        <v>82.04</v>
      </c>
      <c r="P335" s="95" t="s">
        <v>1059</v>
      </c>
      <c r="X335" s="62"/>
      <c r="Z335" s="74"/>
      <c r="AA335" s="74"/>
      <c r="AB335" s="74"/>
      <c r="AC335" s="74"/>
      <c r="AD335" s="111"/>
      <c r="AE335" s="115"/>
      <c r="AF335" s="62"/>
      <c r="AG335" s="62"/>
      <c r="AH335" s="62"/>
      <c r="AI335" s="62"/>
      <c r="AJ335" s="62"/>
    </row>
  </sheetData>
  <autoFilter ref="A2:AJ327"/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1. Default (원본)</vt:lpstr>
      <vt:lpstr>2. Default (변경내역 조사)</vt:lpstr>
      <vt:lpstr>3. Default (재료비 현황) _최종자료</vt:lpstr>
      <vt:lpstr>3. Default (재료비 현황) _업로드용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회의실1</dc:creator>
  <cp:lastModifiedBy>METIS</cp:lastModifiedBy>
  <dcterms:created xsi:type="dcterms:W3CDTF">2025-01-23T00:57:13Z</dcterms:created>
  <dcterms:modified xsi:type="dcterms:W3CDTF">2025-07-10T00:46:41Z</dcterms:modified>
</cp:coreProperties>
</file>